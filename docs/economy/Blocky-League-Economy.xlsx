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Source Outputs" sheetId="2" r:id="rId2"/>
    <sheet name="Sources" sheetId="3" r:id="rId3"/>
    <sheet name="Goals" sheetId="4" r:id="rId4"/>
    <sheet name="Sinks" sheetId="5" r:id="rId5"/>
    <sheet name="Store Value" sheetId="6" r:id="rId6"/>
    <sheet name="Career and Cards" sheetId="7" r:id="rId7"/>
    <sheet name="90 Day Ledger" sheetId="8" r:id="rId8"/>
    <sheet name="Checks and Limits" sheetId="9" r:id="rId9"/>
    <sheet name="Coming Back" sheetId="10" r:id="rId10"/>
    <sheet name="Come Back Sources" sheetId="11" r:id="rId11"/>
    <sheet name="Club Income" sheetId="12" r:id="rId12"/>
    <sheet name="Portal" sheetId="13" r:id="rId13"/>
    <sheet name="Career By Season" sheetId="14" r:id="rId14"/>
    <sheet name="Career Tables" sheetId="15" r:id="rId15"/>
    <sheet name="Ads" sheetId="16" r:id="rId16"/>
    <sheet name="Balance Checks" sheetId="17" r:id="rId17"/>
  </sheets>
  <definedNames>
    <definedName name="_xlnm._FilterDatabase" localSheetId="7" hidden="1">'90 Day Ledger'!$A$1:$J$451</definedName>
    <definedName name="_xlnm._FilterDatabase" localSheetId="13" hidden="1">'Career By Season'!$A$1:$BF$138</definedName>
    <definedName name="_xlnm._FilterDatabase" localSheetId="9" hidden="1">'Coming Back'!$A$1:$L$21</definedName>
    <definedName name="_xlnm._FilterDatabase" localSheetId="3" hidden="1">Goals!$A$1:$K$36</definedName>
    <definedName name="_xlnm._FilterDatabase" localSheetId="4" hidden="1">Sinks!$A$1:$F$150</definedName>
    <definedName name="_xlnm._FilterDatabase" localSheetId="1" hidden="1">'Source Outputs'!$A$1:$I$26</definedName>
    <definedName name="_xlnm._FilterDatabase" localSheetId="2" hidden="1">Sources!$A$1:$E$126</definedName>
  </definedNames>
  <calcPr calcId="124519" fullCalcOnLoad="1"/>
</workbook>
</file>

<file path=xl/sharedStrings.xml><?xml version="1.0" encoding="utf-8"?>
<sst xmlns="http://schemas.openxmlformats.org/spreadsheetml/2006/main" count="5393" uniqueCount="1032">
  <si>
    <t>BLOCKY LEAGUE · ECONOMY REVIEW</t>
  </si>
  <si>
    <t>The game has a viable free route. Fix repeat payouts and card-sale inflation before raising prices. Coins develop the club; gems buy guaranteed identities, permanent passes and optional shortcuts.</t>
  </si>
  <si>
    <t>HOW TO USE: blue cells in Goals are editable. Green cells recalculate saving time. Source Outputs show exact seeded model results; they do not change when you edit a planning assumption.</t>
  </si>
  <si>
    <t>WHAT THIS IS: a repeatable planning model, not measured retention, conversion, profit or proof that the game feels fun. Currency totals are gross earnings before spending.</t>
  </si>
  <si>
    <t>Scenario forecasts, not player telemetry, human playtests or revenue forecasts.</t>
  </si>
  <si>
    <t>Six minutes per match: four playing minutes at the default two-minute halves, plus an assumed two minutes of menus, stoppages and scenes. Ad watch time excluded.</t>
  </si>
  <si>
    <t>Results are seeded with stated win/draw rates. Statistics are assumed; classic matches only, so Blitz and Hard challenges may remain incomplete.</t>
  </si>
  <si>
    <t>All reached free rewards are claimed, and players select each next Journey after completing one. No paid passes, purchases, referrals or gem spending in base cases.</t>
  </si>
  <si>
    <t>Two live objectives per match are assumed (25 coins, 13 XP); no atmosphere boost. Two keeper saves per match; 20% of matches are assumed A-grade (+5% match coins), all others receive no grade bonus. All income uses actual rule functions.</t>
  </si>
  <si>
    <t>Coin totals are cumulative gross earning, including the 500-coin welcome, NOT spendable balances after club purchases. Each goal is estimated independently.</t>
  </si>
  <si>
    <t>Free packs are availability counts, not assumed claims. Earned ticket counts exclude the starting two. Both are tracked separately; cards can improve squads or be sold, not both. Resale table estimates their additional value at fixed squad ratings.</t>
  </si>
  <si>
    <t>Career prizes, board objectives, academy sales, sponsorship, commercial income, renewals and development spending are separate from these shared-loop scenarios: the career sheets (15 October 2026) simulate them.</t>
  </si>
  <si>
    <t>No-ads and paid-doubler regular cases use identical results/random seeds. Optional ads case assumes one gem ad, gift ad and match ad per active day, no five-per-day coin-ad grind.</t>
  </si>
  <si>
    <t>Ranges show 20 deterministic seeds at the stated assumptions; they are sensitivity ranges, not statistical confidence intervals.</t>
  </si>
  <si>
    <t>Coming back (14 October 2026): the welcome week and the play streak are claimed on every day played; the MATCH OF THE DAY is completed on 40% (Learning), 60% (Casual), 75% (Regular) or 90% (Keen) of them. Looks handed over are counted at their shop price as looks, never as coins.</t>
  </si>
  <si>
    <t>Club income: the modelled club puts 40% of every coin earned into its ground (cheapest part first, one build at a time, a league matchday on every day played) and its commercial manager; the ticket office is collected once on a day played (Keen: twice). No stadium style is bought, so the atmosphere is the ground's own.</t>
  </si>
  <si>
    <t>The career (15 October 2026): ROAD TO GLORY on the game's own engine for 180 days, every match a career match, at 45/25/30 (3 days a week, 2 matches), 60/20/20 (daily, 3) and 75/15/10 (daily, 6, every ad). Who wins is assumed (the mix at par, moved by the rating gap and the division's difficulty) and so is what the manager buys; both are written out on the sheet Career By Season. Club Run, online play and SIM THIS MATCH are not in it.</t>
  </si>
  <si>
    <t>Portal profiles (CrazyGames, Poki): nothing is sold. Casual takes one FREE GEMS offer a visit; Keen takes every FREE GEMS offer, the doubled gift, one match bonus and two FREE COINS a day. Days to afford run a 365 day horizon and assume nothing else is bought with that currency.</t>
  </si>
  <si>
    <t>Regenerate: npm run economy:model, then run scripts/economy-workbook.py with Python + xlsxwriter. Review after changes to rewards, match length, player progression or purchases. No monthly content update is required by the twelve permanent Journeys.</t>
  </si>
  <si>
    <t>14 October 2026, coming back: the sheets Coming Back, Come Back Sources, Club Income and Portal show the welcome week, the play streak, the match of the day and club income, each profile before and after, and what a portal player (nothing for sale) can afford and when.</t>
  </si>
  <si>
    <t>Profile</t>
  </si>
  <si>
    <t>Day</t>
  </si>
  <si>
    <t>Matches</t>
  </si>
  <si>
    <t>Play minutes*</t>
  </si>
  <si>
    <t>Gross coins</t>
  </si>
  <si>
    <t>Gross gems</t>
  </si>
  <si>
    <t>Tickets earned</t>
  </si>
  <si>
    <t>Free packs available</t>
  </si>
  <si>
    <t>Journeys completed</t>
  </si>
  <si>
    <t>Learning, no ads</t>
  </si>
  <si>
    <t>Casual, no ads</t>
  </si>
  <si>
    <t>Regular, no ads</t>
  </si>
  <si>
    <t>Keen, optional ads</t>
  </si>
  <si>
    <t>Regular + paid Coin Doubler</t>
  </si>
  <si>
    <t>*Includes assumed scene/menu time; excludes ad duration.</t>
  </si>
  <si>
    <t>Currency</t>
  </si>
  <si>
    <t>Source</t>
  </si>
  <si>
    <t>90-day amount</t>
  </si>
  <si>
    <t>Source scope</t>
  </si>
  <si>
    <t>Coins</t>
  </si>
  <si>
    <t>welcome</t>
  </si>
  <si>
    <t>Shared play loops; career and card sales shown separately</t>
  </si>
  <si>
    <t>matches</t>
  </si>
  <si>
    <t>calendar</t>
  </si>
  <si>
    <t>daily</t>
  </si>
  <si>
    <t>weekly</t>
  </si>
  <si>
    <t>live</t>
  </si>
  <si>
    <t>skill</t>
  </si>
  <si>
    <t>mastery</t>
  </si>
  <si>
    <t>journeys</t>
  </si>
  <si>
    <t>matchAds</t>
  </si>
  <si>
    <t>coinAds</t>
  </si>
  <si>
    <t>streak</t>
  </si>
  <si>
    <t>matchOfDay</t>
  </si>
  <si>
    <t>clubIncome</t>
  </si>
  <si>
    <t>Gems</t>
  </si>
  <si>
    <t>sweep</t>
  </si>
  <si>
    <t>levels</t>
  </si>
  <si>
    <t>achievements</t>
  </si>
  <si>
    <t>ads</t>
  </si>
  <si>
    <t>welcomeWeek</t>
  </si>
  <si>
    <t>Goal</t>
  </si>
  <si>
    <t>Cost</t>
  </si>
  <si>
    <t>Starting balance</t>
  </si>
  <si>
    <t>Gross/day (days31–90)</t>
  </si>
  <si>
    <t>Share saved for goal</t>
  </si>
  <si>
    <t>Planning days</t>
  </si>
  <si>
    <t>Planning matches</t>
  </si>
  <si>
    <t>Matches / week</t>
  </si>
  <si>
    <t>Exact no-spend model day</t>
  </si>
  <si>
    <t>Main stand</t>
  </si>
  <si>
    <t>coins</t>
  </si>
  <si>
    <t>Youth academy</t>
  </si>
  <si>
    <t>Legendary cosmetic</t>
  </si>
  <si>
    <t>Whole ground</t>
  </si>
  <si>
    <t>Local scouting network</t>
  </si>
  <si>
    <t>gems</t>
  </si>
  <si>
    <t>Signature / permanent pass</t>
  </si>
  <si>
    <t>Beyond 90 days</t>
  </si>
  <si>
    <t>All scouting networks</t>
  </si>
  <si>
    <t>Each goal is independent. Add build time (1–2 league matchdays) and compete with other spending. Planning days use a steady-rate approximation, not the exact curve.</t>
  </si>
  <si>
    <t>Category</t>
  </si>
  <si>
    <t>ID</t>
  </si>
  <si>
    <t>Item</t>
  </si>
  <si>
    <t>Build matchdays</t>
  </si>
  <si>
    <t>Staff</t>
  </si>
  <si>
    <t>assistant:1</t>
  </si>
  <si>
    <t>ASSISTANT COACH 1</t>
  </si>
  <si>
    <t>assistant:2</t>
  </si>
  <si>
    <t>ASSISTANT COACH 2</t>
  </si>
  <si>
    <t>assistant:3</t>
  </si>
  <si>
    <t>ASSISTANT COACH 3</t>
  </si>
  <si>
    <t>physio:1</t>
  </si>
  <si>
    <t>PHYSIO 1</t>
  </si>
  <si>
    <t>physio:2</t>
  </si>
  <si>
    <t>PHYSIO 2</t>
  </si>
  <si>
    <t>physio:3</t>
  </si>
  <si>
    <t>PHYSIO 3</t>
  </si>
  <si>
    <t>scout1:1</t>
  </si>
  <si>
    <t>SCOUT 1</t>
  </si>
  <si>
    <t>scout1:2</t>
  </si>
  <si>
    <t>SCOUT 2</t>
  </si>
  <si>
    <t>scout1:3</t>
  </si>
  <si>
    <t>SCOUT 3</t>
  </si>
  <si>
    <t>scout2:1</t>
  </si>
  <si>
    <t>SECOND SCOUT 1</t>
  </si>
  <si>
    <t>scout2:2</t>
  </si>
  <si>
    <t>SECOND SCOUT 2</t>
  </si>
  <si>
    <t>scout2:3</t>
  </si>
  <si>
    <t>SECOND SCOUT 3</t>
  </si>
  <si>
    <t>academy:1</t>
  </si>
  <si>
    <t>ACADEMY DIRECTOR 1</t>
  </si>
  <si>
    <t>academy:2</t>
  </si>
  <si>
    <t>ACADEMY DIRECTOR 2</t>
  </si>
  <si>
    <t>academy:3</t>
  </si>
  <si>
    <t>ACADEMY DIRECTOR 3</t>
  </si>
  <si>
    <t>commercial:1</t>
  </si>
  <si>
    <t>COMMERCIAL MANAGER 1</t>
  </si>
  <si>
    <t>commercial:2</t>
  </si>
  <si>
    <t>COMMERCIAL MANAGER 2</t>
  </si>
  <si>
    <t>commercial:3</t>
  </si>
  <si>
    <t>COMMERCIAL MANAGER 3</t>
  </si>
  <si>
    <t>Ground</t>
  </si>
  <si>
    <t>main:1</t>
  </si>
  <si>
    <t>MAIN STAND</t>
  </si>
  <si>
    <t>main:2</t>
  </si>
  <si>
    <t>UPPER TIER</t>
  </si>
  <si>
    <t>near:1</t>
  </si>
  <si>
    <t>FAMILY STAND</t>
  </si>
  <si>
    <t>near:2</t>
  </si>
  <si>
    <t>FULL LENGTH</t>
  </si>
  <si>
    <t>lights:1</t>
  </si>
  <si>
    <t>FLOODLIGHTS</t>
  </si>
  <si>
    <t>north:1</t>
  </si>
  <si>
    <t>NORTH END</t>
  </si>
  <si>
    <t>south:1</t>
  </si>
  <si>
    <t>SOUTH END</t>
  </si>
  <si>
    <t>roof:1</t>
  </si>
  <si>
    <t>THE DOME</t>
  </si>
  <si>
    <t>screen:1</t>
  </si>
  <si>
    <t>BIG SCREEN</t>
  </si>
  <si>
    <t>store:1</t>
  </si>
  <si>
    <t>MEGASTORE</t>
  </si>
  <si>
    <t>fanzone:1</t>
  </si>
  <si>
    <t>FAN ZONE</t>
  </si>
  <si>
    <t>training:1</t>
  </si>
  <si>
    <t>TRAINING GROUND</t>
  </si>
  <si>
    <t>YOUTH ACADEMY</t>
  </si>
  <si>
    <t>celebration</t>
  </si>
  <si>
    <t>celebration:knee</t>
  </si>
  <si>
    <t>Knee slide</t>
  </si>
  <si>
    <t>celebration:shush</t>
  </si>
  <si>
    <t>Shush</t>
  </si>
  <si>
    <t>celebration:plane</t>
  </si>
  <si>
    <t>Aeroplane</t>
  </si>
  <si>
    <t>celebration:robot</t>
  </si>
  <si>
    <t>Robot</t>
  </si>
  <si>
    <t>celebration:backflip</t>
  </si>
  <si>
    <t>Backflip</t>
  </si>
  <si>
    <t>celebration:pile</t>
  </si>
  <si>
    <t>Pile on</t>
  </si>
  <si>
    <t>ball</t>
  </si>
  <si>
    <t>ball:retro</t>
  </si>
  <si>
    <t>Retro</t>
  </si>
  <si>
    <t>ball:beach</t>
  </si>
  <si>
    <t>Beach</t>
  </si>
  <si>
    <t>ball:melon</t>
  </si>
  <si>
    <t>Melon</t>
  </si>
  <si>
    <t>ball:blaze</t>
  </si>
  <si>
    <t>Blaze</t>
  </si>
  <si>
    <t>ball:hoops</t>
  </si>
  <si>
    <t>Hoops</t>
  </si>
  <si>
    <t>ball:eight</t>
  </si>
  <si>
    <t>Eight</t>
  </si>
  <si>
    <t>ball:ice</t>
  </si>
  <si>
    <t>Ice</t>
  </si>
  <si>
    <t>ball:neon</t>
  </si>
  <si>
    <t>Neon</t>
  </si>
  <si>
    <t>ball:moon</t>
  </si>
  <si>
    <t>Moon</t>
  </si>
  <si>
    <t>ball:disco</t>
  </si>
  <si>
    <t>Disco</t>
  </si>
  <si>
    <t>ball:gold</t>
  </si>
  <si>
    <t>Gold</t>
  </si>
  <si>
    <t>ball:planet</t>
  </si>
  <si>
    <t>Planet</t>
  </si>
  <si>
    <t>ball:diamond</t>
  </si>
  <si>
    <t>Diamond</t>
  </si>
  <si>
    <t>goalfx</t>
  </si>
  <si>
    <t>goalfx:shockwave</t>
  </si>
  <si>
    <t>Shockwave</t>
  </si>
  <si>
    <t>goalfx:balloons</t>
  </si>
  <si>
    <t>Balloon Party</t>
  </si>
  <si>
    <t>goalfx:confetti</t>
  </si>
  <si>
    <t>Confetti Cannons</t>
  </si>
  <si>
    <t>goalfx:popcorn</t>
  </si>
  <si>
    <t>Popcorn</t>
  </si>
  <si>
    <t>goalfx:gold</t>
  </si>
  <si>
    <t>Gold Rush</t>
  </si>
  <si>
    <t>goalfx:ice</t>
  </si>
  <si>
    <t>Frostbite</t>
  </si>
  <si>
    <t>goalfx:pinata</t>
  </si>
  <si>
    <t>Pinata</t>
  </si>
  <si>
    <t>goalfx:fire</t>
  </si>
  <si>
    <t>Inferno</t>
  </si>
  <si>
    <t>goalfx:rainbow</t>
  </si>
  <si>
    <t>Rainbow</t>
  </si>
  <si>
    <t>goalfx:neon</t>
  </si>
  <si>
    <t>Neon Disco</t>
  </si>
  <si>
    <t>goalfx:fireworks</t>
  </si>
  <si>
    <t>Fireworks</t>
  </si>
  <si>
    <t>goalfx:volcano</t>
  </si>
  <si>
    <t>Volcano</t>
  </si>
  <si>
    <t>goalfx:lightning</t>
  </si>
  <si>
    <t>Thunderbolt</t>
  </si>
  <si>
    <t>goalfx:galaxy</t>
  </si>
  <si>
    <t>Black Hole</t>
  </si>
  <si>
    <t>goalfx:meteor</t>
  </si>
  <si>
    <t>Meteor Strike</t>
  </si>
  <si>
    <t>goalfx:diamond</t>
  </si>
  <si>
    <t>Diamond Rain</t>
  </si>
  <si>
    <t>goalfx:supernova</t>
  </si>
  <si>
    <t>Supernova</t>
  </si>
  <si>
    <t>trail</t>
  </si>
  <si>
    <t>trail:toon</t>
  </si>
  <si>
    <t>Toon Dash</t>
  </si>
  <si>
    <t>trail:hearts</t>
  </si>
  <si>
    <t>Hearts</t>
  </si>
  <si>
    <t>trail:pink</t>
  </si>
  <si>
    <t>Bubblegum</t>
  </si>
  <si>
    <t>trail:popcorn</t>
  </si>
  <si>
    <t>trail:notes</t>
  </si>
  <si>
    <t>Music Notes</t>
  </si>
  <si>
    <t>trail:lime</t>
  </si>
  <si>
    <t>Slime</t>
  </si>
  <si>
    <t>trail:ice</t>
  </si>
  <si>
    <t>Ice Trail</t>
  </si>
  <si>
    <t>trail:fire</t>
  </si>
  <si>
    <t>Afterburner</t>
  </si>
  <si>
    <t>trail:gold</t>
  </si>
  <si>
    <t>Golden Boots</t>
  </si>
  <si>
    <t>trail:glitch</t>
  </si>
  <si>
    <t>Glitch</t>
  </si>
  <si>
    <t>trail:rainbow</t>
  </si>
  <si>
    <t>Rainbow Ribbon</t>
  </si>
  <si>
    <t>trail:lightning</t>
  </si>
  <si>
    <t>Lightning</t>
  </si>
  <si>
    <t>trail:comet</t>
  </si>
  <si>
    <t>Comet Tail</t>
  </si>
  <si>
    <t>kit</t>
  </si>
  <si>
    <t>kit:zigzag</t>
  </si>
  <si>
    <t>Zigzag</t>
  </si>
  <si>
    <t>kit:checker</t>
  </si>
  <si>
    <t>Checkerboard</t>
  </si>
  <si>
    <t>kit:camo</t>
  </si>
  <si>
    <t>Arctic Camo</t>
  </si>
  <si>
    <t>kit:tiger</t>
  </si>
  <si>
    <t>Tiger</t>
  </si>
  <si>
    <t>kit:fade</t>
  </si>
  <si>
    <t>Sunset Fade</t>
  </si>
  <si>
    <t>kit:retro</t>
  </si>
  <si>
    <t>Retro 80s</t>
  </si>
  <si>
    <t>kit:crest</t>
  </si>
  <si>
    <t>Big Crest</t>
  </si>
  <si>
    <t>kit:inferno</t>
  </si>
  <si>
    <t>kit:bolt</t>
  </si>
  <si>
    <t>Thunder</t>
  </si>
  <si>
    <t>kit:iceking</t>
  </si>
  <si>
    <t>Ice King</t>
  </si>
  <si>
    <t>kit:holo</t>
  </si>
  <si>
    <t>Hologram</t>
  </si>
  <si>
    <t>kit:galaxy</t>
  </si>
  <si>
    <t>Galaxy</t>
  </si>
  <si>
    <t>kit:pinstripe</t>
  </si>
  <si>
    <t>Gold Pinstripe</t>
  </si>
  <si>
    <t>kit:neonglow</t>
  </si>
  <si>
    <t>Glow In The Dark</t>
  </si>
  <si>
    <t>kit:goldfoil</t>
  </si>
  <si>
    <t>Gold Foil</t>
  </si>
  <si>
    <t>look</t>
  </si>
  <si>
    <t>look:bun</t>
  </si>
  <si>
    <t>Top Bun</t>
  </si>
  <si>
    <t>look:tips</t>
  </si>
  <si>
    <t>Frosted Tips</t>
  </si>
  <si>
    <t>look:mohawk</t>
  </si>
  <si>
    <t>Mohawk</t>
  </si>
  <si>
    <t>look:afro</t>
  </si>
  <si>
    <t>Big Afro</t>
  </si>
  <si>
    <t>look:spikes</t>
  </si>
  <si>
    <t>Super Spikes</t>
  </si>
  <si>
    <t>look:flamehair</t>
  </si>
  <si>
    <t>Flame Hair</t>
  </si>
  <si>
    <t>look:headband</t>
  </si>
  <si>
    <t>Headband</t>
  </si>
  <si>
    <t>look:sweatband</t>
  </si>
  <si>
    <t>Sweatbands</t>
  </si>
  <si>
    <t>look:halo</t>
  </si>
  <si>
    <t>Halo</t>
  </si>
  <si>
    <t>look:icecrown</t>
  </si>
  <si>
    <t>Ice Crown</t>
  </si>
  <si>
    <t>look:crown</t>
  </si>
  <si>
    <t>Crown</t>
  </si>
  <si>
    <t>look:armband</t>
  </si>
  <si>
    <t>Captain Armband</t>
  </si>
  <si>
    <t>look:armrainbow</t>
  </si>
  <si>
    <t>Rainbow Armband</t>
  </si>
  <si>
    <t>look:armgold</t>
  </si>
  <si>
    <t>Gold Armband</t>
  </si>
  <si>
    <t>look:bootneon</t>
  </si>
  <si>
    <t>Neon Boots</t>
  </si>
  <si>
    <t>look:bootgold</t>
  </si>
  <si>
    <t>Gold Boots</t>
  </si>
  <si>
    <t>look:bootlight</t>
  </si>
  <si>
    <t>Light Up Boots</t>
  </si>
  <si>
    <t>look:glovepro</t>
  </si>
  <si>
    <t>Pro Gloves</t>
  </si>
  <si>
    <t>look:glovefire</t>
  </si>
  <si>
    <t>Fire Gloves</t>
  </si>
  <si>
    <t>look:glovegold</t>
  </si>
  <si>
    <t>Gold Gloves</t>
  </si>
  <si>
    <t>look:shades</t>
  </si>
  <si>
    <t>Shades</t>
  </si>
  <si>
    <t>look:shadestar</t>
  </si>
  <si>
    <t>Star Shades</t>
  </si>
  <si>
    <t>look:shadegold</t>
  </si>
  <si>
    <t>Gold Shades</t>
  </si>
  <si>
    <t>decor</t>
  </si>
  <si>
    <t>decor:mowchecks</t>
  </si>
  <si>
    <t>Mown Checks</t>
  </si>
  <si>
    <t>decor:mowdiag</t>
  </si>
  <si>
    <t>Diagonal Stripes</t>
  </si>
  <si>
    <t>decor:mowcircle</t>
  </si>
  <si>
    <t>Mown Circles</t>
  </si>
  <si>
    <t>decor:mowcrest</t>
  </si>
  <si>
    <t>Centre Crest</t>
  </si>
  <si>
    <t>decor:netclub</t>
  </si>
  <si>
    <t>Club Nets</t>
  </si>
  <si>
    <t>decor:nethex</t>
  </si>
  <si>
    <t>Hex Nets</t>
  </si>
  <si>
    <t>decor:netrainbow</t>
  </si>
  <si>
    <t>Rainbow Nets</t>
  </si>
  <si>
    <t>decor:netglow</t>
  </si>
  <si>
    <t>Neon Nets</t>
  </si>
  <si>
    <t>decor:flagclub</t>
  </si>
  <si>
    <t>Club Flags</t>
  </si>
  <si>
    <t>decor:flagcheck</t>
  </si>
  <si>
    <t>Chequered Flags</t>
  </si>
  <si>
    <t>decor:flagfire</t>
  </si>
  <si>
    <t>Flame Flags</t>
  </si>
  <si>
    <t>decor:seatname</t>
  </si>
  <si>
    <t>Name In The Seats</t>
  </si>
  <si>
    <t>decor:tifoflags</t>
  </si>
  <si>
    <t>Flag Wave</t>
  </si>
  <si>
    <t>decor:tifobig</t>
  </si>
  <si>
    <t>Giant Tifo</t>
  </si>
  <si>
    <t>decor:kickconfetti</t>
  </si>
  <si>
    <t>decor:kickfire</t>
  </si>
  <si>
    <t>Fireworks Show</t>
  </si>
  <si>
    <t>decor:kickpyro</t>
  </si>
  <si>
    <t>Pyro Show</t>
  </si>
  <si>
    <t>decor:lightclub</t>
  </si>
  <si>
    <t>Club Floodlights</t>
  </si>
  <si>
    <t>decor:lightshow</t>
  </si>
  <si>
    <t>Light Show</t>
  </si>
  <si>
    <t>decor:mascotbear</t>
  </si>
  <si>
    <t>Bear Mascot</t>
  </si>
  <si>
    <t>decor:mascotrobot</t>
  </si>
  <si>
    <t>Robo Mascot</t>
  </si>
  <si>
    <t>decor:mascotdragon</t>
  </si>
  <si>
    <t>Dragon Mascot</t>
  </si>
  <si>
    <t>Gem sink</t>
  </si>
  <si>
    <t>scoutNetwork:1</t>
  </si>
  <si>
    <t>SCOUTING NETWORK 1</t>
  </si>
  <si>
    <t>scoutNetwork:2</t>
  </si>
  <si>
    <t>SCOUTING NETWORK 2</t>
  </si>
  <si>
    <t>scoutNetwork:3</t>
  </si>
  <si>
    <t>SCOUTING NETWORK 3</t>
  </si>
  <si>
    <t>finishBuildPerMatchday</t>
  </si>
  <si>
    <t>healPlayer</t>
  </si>
  <si>
    <t>replayMatch</t>
  </si>
  <si>
    <t>clubPass</t>
  </si>
  <si>
    <t>signatureCollection</t>
  </si>
  <si>
    <t>dealRefresh</t>
  </si>
  <si>
    <t>Product</t>
  </si>
  <si>
    <t>Type</t>
  </si>
  <si>
    <t>Reference US price</t>
  </si>
  <si>
    <t>Normal gems</t>
  </si>
  <si>
    <t>First-buy gems</t>
  </si>
  <si>
    <t>Normal gems / US$</t>
  </si>
  <si>
    <t>First gems / US$</t>
  </si>
  <si>
    <t>bl.gems.100</t>
  </si>
  <si>
    <t>consumable</t>
  </si>
  <si>
    <t>bl.gems.300</t>
  </si>
  <si>
    <t>bl.gems.500</t>
  </si>
  <si>
    <t>bl.gems.1000</t>
  </si>
  <si>
    <t>bl.gems.2000</t>
  </si>
  <si>
    <t>bl.starter</t>
  </si>
  <si>
    <t>non-consumable</t>
  </si>
  <si>
    <t>bl.noads</t>
  </si>
  <si>
    <t>bl.pass</t>
  </si>
  <si>
    <t>bl.doubler</t>
  </si>
  <si>
    <t>bl.pro</t>
  </si>
  <si>
    <t>Reference USD pricing is not a localized StoreKit quote. The actual store price wins. First-buy bonuses are one-time per pack. Do not claim a blanket best value or fixed percentage saving across currencies. Native IAP product setup and real purchase validation remain release prerequisites.</t>
  </si>
  <si>
    <t>Permanent pass: 600 gems or reference US$3.99, grants 5,560 coins + 150 gems + 6 items after all tiers. First 660-gem pack costs US$2.99, so the direct cash pass is not always cheapest. Signature collection gives all six items immediately, with no currency rewards.</t>
  </si>
  <si>
    <t>Division / squad OVR</t>
  </si>
  <si>
    <t>Stadium / kind</t>
  </si>
  <si>
    <t>Two-goal win / mean resale</t>
  </si>
  <si>
    <t>20-goal win / min resale</t>
  </si>
  <si>
    <t>Max resale</t>
  </si>
  <si>
    <t>Notes</t>
  </si>
  <si>
    <t>Base fee before streak, club boosts, side rewards and spending</t>
  </si>
  <si>
    <t>Scout card</t>
  </si>
  <si>
    <t>1,000 draws. Previous uncapped mean: 205.6. Sell or use for squad, never both.</t>
  </si>
  <si>
    <t>1,000 draws. Previous uncapped mean: 502.4. Sell or use for squad, never both.</t>
  </si>
  <si>
    <t>1,000 draws. Previous uncapped mean: 945.4. Sell or use for squad, never both.</t>
  </si>
  <si>
    <t>Commercial level 1</t>
  </si>
  <si>
    <t>Fee 400</t>
  </si>
  <si>
    <t>Wage 10</t>
  </si>
  <si>
    <t>Home +40</t>
  </si>
  <si>
    <t>Net per league match before sponsor, assuming half home.</t>
  </si>
  <si>
    <t>Commercial level 2</t>
  </si>
  <si>
    <t>Fee 1000</t>
  </si>
  <si>
    <t>Wage 24</t>
  </si>
  <si>
    <t>Home +90</t>
  </si>
  <si>
    <t>Commercial level 3</t>
  </si>
  <si>
    <t>Fee 2000</t>
  </si>
  <si>
    <t>Wage 40</t>
  </si>
  <si>
    <t>Home +170</t>
  </si>
  <si>
    <t>Career cashflow also includes sponsor and commercial income, cup/season/board prizes and player sales; staff wages, renewals, training and purchases consume it. These variable choices are not included in the shared-loop totals. Full care is taken to keep prize multipliers separate.</t>
  </si>
  <si>
    <t>Date</t>
  </si>
  <si>
    <t>Minutes</t>
  </si>
  <si>
    <t>Tickets</t>
  </si>
  <si>
    <t>Free packs</t>
  </si>
  <si>
    <t>Journeys</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</si>
  <si>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</si>
  <si>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</si>
  <si>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</si>
  <si>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</si>
  <si>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</si>
  <si>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</si>
  <si>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</si>
  <si>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</si>
  <si>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</si>
  <si>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</si>
  <si>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</si>
  <si>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</si>
  <si>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</si>
  <si>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</si>
  <si>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</si>
  <si>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</si>
  <si>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</si>
  <si>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</si>
  <si>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</si>
  <si>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</si>
  <si>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</si>
  <si>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</si>
  <si>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</si>
  <si>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</si>
  <si>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</si>
  <si>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</si>
  <si>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</si>
  <si>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</si>
  <si>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</si>
  <si>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</si>
  <si>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</si>
  <si>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2026-11-05</t>
  </si>
  <si>
    <t>2026-11-06</t>
  </si>
  <si>
    <t>2026-11-07</t>
  </si>
  <si>
    <t>2026-11-08</t>
  </si>
  <si>
    <t>2026-11-09</t>
  </si>
  <si>
    <t>2026-11-10</t>
  </si>
  <si>
    <t>2026-11-11</t>
  </si>
  <si>
    <t>2026-11-12</t>
  </si>
  <si>
    <t>2026-11-13</t>
  </si>
  <si>
    <t>2026-11-14</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</si>
  <si>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</si>
  <si>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</si>
  <si>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</si>
  <si>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</si>
  <si>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</si>
  <si>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</si>
  <si>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</si>
  <si>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</si>
  <si>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</si>
  <si>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</si>
  <si>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</si>
  <si>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</si>
  <si>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</si>
  <si>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</si>
  <si>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</si>
  <si>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</si>
  <si>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2026-12-01</t>
  </si>
  <si>
    <t>2026-12-02</t>
  </si>
  <si>
    <t>2026-12-03</t>
  </si>
  <si>
    <t>2026-12-04</t>
  </si>
  <si>
    <t>2026-12-05</t>
  </si>
  <si>
    <t>2026-12-06</t>
  </si>
  <si>
    <t>2026-12-07</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</si>
  <si>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</si>
  <si>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</si>
  <si>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</si>
  <si>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</si>
  <si>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</si>
  <si>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</si>
  <si>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</si>
  <si>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</si>
  <si>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</si>
  <si>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</si>
  <si>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</si>
  <si>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</si>
  <si>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</si>
  <si>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</si>
  <si>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</si>
  <si>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</si>
  <si>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</si>
  <si>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</si>
  <si>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</si>
  <si>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</si>
  <si>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</si>
  <si>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</si>
  <si>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</si>
  <si>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</si>
  <si>
    <t>2027-01-01</t>
  </si>
  <si>
    <t>2027-01-02</t>
  </si>
  <si>
    <t>Result / limit</t>
  </si>
  <si>
    <t>Source reconciliation</t>
  </si>
  <si>
    <t>Every model coin/gem source sums to its final total; deterministic seeds are repeatable.</t>
  </si>
  <si>
    <t>Modeled uncertainty</t>
  </si>
  <si>
    <t>20 seeds per profile. These are scenario sensitivity ranges, not confidence intervals.</t>
  </si>
  <si>
    <t>Referral promise</t>
  </si>
  <si>
    <t>1,000 coins + 50 gems for each qualifying side. Up to20 invited friends plus one welcome receipt; unchanged.</t>
  </si>
  <si>
    <t>Offline trust</t>
  </si>
  <si>
    <t>Local saves and device dates remain client-authoritative. Rewind protection closes simple reset farming; it is not server anti-cheat.</t>
  </si>
  <si>
    <t>Date correction</t>
  </si>
  <si>
    <t>A claim made with the phone clock in the future stays unavailable until its recorded day passes. A trusted-time recovery flow is not included.</t>
  </si>
  <si>
    <t>Native payments</t>
  </si>
  <si>
    <t>Production IAP products/ad units and end-to-end purchases must be configured and tested before public monetization.</t>
  </si>
  <si>
    <t>Evergreen limits</t>
  </si>
  <si>
    <t>The12 Journeys are permanent, finite content. Career play can continue; a finite shipped catalogue cannot guarantee endless demand or revenue.</t>
  </si>
  <si>
    <t>Visual QA</t>
  </si>
  <si>
    <t>This workbook and code/CLI checks do not constitute rendered or device visual testing.</t>
  </si>
  <si>
    <t>learning</t>
  </si>
  <si>
    <t>90-day range: 46,809–52,932 coins; 504–587 gems</t>
  </si>
  <si>
    <t>casual</t>
  </si>
  <si>
    <t>90-day range: 78,968–89,948 coins; 798–939 gems</t>
  </si>
  <si>
    <t>regular</t>
  </si>
  <si>
    <t>90-day range: 196,908–211,382 coins; 1,614–1,677 gems</t>
  </si>
  <si>
    <t>keen</t>
  </si>
  <si>
    <t>90-day range: 360,272–375,026 coins; 2,047–2,095 gems</t>
  </si>
  <si>
    <t>doubler</t>
  </si>
  <si>
    <t>90-day range: 225,602–245,688 coins; 1,614–1,677 gems</t>
  </si>
  <si>
    <t>Coins before</t>
  </si>
  <si>
    <t>Coins after</t>
  </si>
  <si>
    <t>Coins change</t>
  </si>
  <si>
    <t>Gems before</t>
  </si>
  <si>
    <t>Gems after</t>
  </si>
  <si>
    <t>Gems change</t>
  </si>
  <si>
    <t>Looks handed over (coin value)</t>
  </si>
  <si>
    <t>Ground level</t>
  </si>
  <si>
    <t>Office coins an hour</t>
  </si>
  <si>
    <t>Play streak day</t>
  </si>
  <si>
    <t>Before: the economy of 6 October 2026 (the same seeded matches, the come-back features off). After: the welcome week, the play streak, the match of the day and club income on, claimed as the assumptions on Start Here say. Gross earning before any spending. Looks are items from the shop at their coin price: they are not coins and are never counted as coins.</t>
  </si>
  <si>
    <t>Welcome week, calendar day</t>
  </si>
  <si>
    <t>Calendar coins</t>
  </si>
  <si>
    <t>Calendar gems</t>
  </si>
  <si>
    <t>Calendar tickets</t>
  </si>
  <si>
    <t>Extra gems, first time</t>
  </si>
  <si>
    <t>Extra tickets, first time</t>
  </si>
  <si>
    <t>Look, first time</t>
  </si>
  <si>
    <t>Look coin value (paid instead if owned)</t>
  </si>
  <si>
    <t>Day 1</t>
  </si>
  <si>
    <t>Day 2</t>
  </si>
  <si>
    <t>Melon (ball)</t>
  </si>
  <si>
    <t>Day 3</t>
  </si>
  <si>
    <t>Day 4</t>
  </si>
  <si>
    <t>Day 5</t>
  </si>
  <si>
    <t>Tiger (kit)</t>
  </si>
  <si>
    <t>Day 6</t>
  </si>
  <si>
    <t>Day 7</t>
  </si>
  <si>
    <t>Big Afro (look)</t>
  </si>
  <si>
    <t>Week total</t>
  </si>
  <si>
    <t>Reserved look, once</t>
  </si>
  <si>
    <t>Look coin value</t>
  </si>
  <si>
    <t>Music Notes (trail)</t>
  </si>
  <si>
    <t>Day 14</t>
  </si>
  <si>
    <t>Rainbow (goalfx)</t>
  </si>
  <si>
    <t>Day 30</t>
  </si>
  <si>
    <t>Halo (look)</t>
  </si>
  <si>
    <t>One missed day a week is forgiven. A longer break halves the streak; nothing is zeroed.</t>
  </si>
  <si>
    <t>Weekly, at the steady rate</t>
  </si>
  <si>
    <t>Value</t>
  </si>
  <si>
    <t>Match of the day, coins a day</t>
  </si>
  <si>
    <t>Match of the day, gems a day</t>
  </si>
  <si>
    <t>Come-back gems a week</t>
  </si>
  <si>
    <t>Come-back coins a week (match of the day and streak)</t>
  </si>
  <si>
    <t>Loop gems a week, apps, with the daily ad</t>
  </si>
  <si>
    <t>Loop gems a week, apps, no ads</t>
  </si>
  <si>
    <t>Loop gems a week, portal, every offer</t>
  </si>
  <si>
    <t>Tuned band for a week of loop gems</t>
  </si>
  <si>
    <t>80 to 160</t>
  </si>
  <si>
    <t>90 day amount</t>
  </si>
  <si>
    <t>Share of the 90 day total</t>
  </si>
  <si>
    <t>Ticket office, coins an hour</t>
  </si>
  <si>
    <t>Club shop (megastore)</t>
  </si>
  <si>
    <t>Commercial manager %</t>
  </si>
  <si>
    <t>Atmosphere %</t>
  </si>
  <si>
    <t>Coins an hour</t>
  </si>
  <si>
    <t>Full office (cap hours x rate)</t>
  </si>
  <si>
    <t>0 Park pitch</t>
  </si>
  <si>
    <t>1 Main stand</t>
  </si>
  <si>
    <t>2 Family stand</t>
  </si>
  <si>
    <t>3 Both sides full, floodlights</t>
  </si>
  <si>
    <t>4 Both ends</t>
  </si>
  <si>
    <t>5 The dome</t>
  </si>
  <si>
    <t>Everything built</t>
  </si>
  <si>
    <t>Cap, hours</t>
  </si>
  <si>
    <t>Share of coins the modelled club spends on its ground</t>
  </si>
  <si>
    <t>Blue cells are inputs: try the megastore (5), a manager (10%, 20%, 30%) or an atmosphere (up to 10%) on any row. The clock only moves forward and the office stops at the cap, so a week away is one full office, and nothing is ever lost by staying away.</t>
  </si>
  <si>
    <t>Days</t>
  </si>
  <si>
    <t>Office coins a day</t>
  </si>
  <si>
    <t>Other coins a day</t>
  </si>
  <si>
    <t>Office share of the rest</t>
  </si>
  <si>
    <t>Office rate at the end</t>
  </si>
  <si>
    <t>Full office at the end</t>
  </si>
  <si>
    <t>1 to 7</t>
  </si>
  <si>
    <t>8 to 30</t>
  </si>
  <si>
    <t>31 to 90</t>
  </si>
  <si>
    <t>Portal casual, one ad a visit</t>
  </si>
  <si>
    <t>Portal regular, no ads</t>
  </si>
  <si>
    <t>Portal keen, every offer</t>
  </si>
  <si>
    <t>Guard rail (tests/economyBalance.test.ts): at most about a quarter at any stage; under a fifth for a regular player; under a tenth in week one.</t>
  </si>
  <si>
    <t>Level 1, day</t>
  </si>
  <si>
    <t>Level 2, day</t>
  </si>
  <si>
    <t>Level 3, day</t>
  </si>
  <si>
    <t>Level 4, day</t>
  </si>
  <si>
    <t>Level 5, day</t>
  </si>
  <si>
    <t>Rate day 1 / 30 / 90</t>
  </si>
  <si>
    <t>Beyond the run</t>
  </si>
  <si>
    <t>16 / 24 / 33</t>
  </si>
  <si>
    <t>16 / 24 / 39</t>
  </si>
  <si>
    <t>18 / 36 / 42</t>
  </si>
  <si>
    <t>16 / 42 / 42</t>
  </si>
  <si>
    <t>18 / 39 / 42</t>
  </si>
  <si>
    <t>Gems from FREE GEMS ads (whole run)</t>
  </si>
  <si>
    <t>Day, everything saved for it</t>
  </si>
  <si>
    <t>Day, planning share (40% coins, 75% gems)</t>
  </si>
  <si>
    <t>Local Scouting Network</t>
  </si>
  <si>
    <t>Club Pass</t>
  </si>
  <si>
    <t>National Scouting Network (after Local)</t>
  </si>
  <si>
    <t>World Scouting Network (all three)</t>
  </si>
  <si>
    <t>Club Pass and all three networks</t>
  </si>
  <si>
    <t>Mid look (EPIC, Inferno goal)</t>
  </si>
  <si>
    <t>Top look (LEGENDARY, Supernova goal)</t>
  </si>
  <si>
    <t>The whole ground</t>
  </si>
  <si>
    <t>Each goal alone: nothing else bought with that currency. The gem goals are cumulative where the name says so.</t>
  </si>
  <si>
    <t>FREE GEMS offers a day</t>
  </si>
  <si>
    <t>Offers taken a day</t>
  </si>
  <si>
    <t>Loop gems a week, at most</t>
  </si>
  <si>
    <t>Gems day 30</t>
  </si>
  <si>
    <t>Gems day 90</t>
  </si>
  <si>
    <t>Ad gems in 90 days</t>
  </si>
  <si>
    <t>Club Pass, day</t>
  </si>
  <si>
    <t>Local network, day</t>
  </si>
  <si>
    <t>All three networks, day</t>
  </si>
  <si>
    <t>Chosen: 2 offers a day on a portal, 3 gems each, one ad a reward, in the shop only (the apps keep one). Two keeps the week inside the 80 to 160 band; three would not (165). A casual player who takes one a visit is unaffected by the number.</t>
  </si>
  <si>
    <t>Season</t>
  </si>
  <si>
    <t>Division</t>
  </si>
  <si>
    <t>League</t>
  </si>
  <si>
    <t>Finish</t>
  </si>
  <si>
    <t>Outcome</t>
  </si>
  <si>
    <t>Day from</t>
  </si>
  <si>
    <t>Day to</t>
  </si>
  <si>
    <t>Won</t>
  </si>
  <si>
    <t>Drawn</t>
  </si>
  <si>
    <t>Lost</t>
  </si>
  <si>
    <t>Coins in</t>
  </si>
  <si>
    <t>Coins out</t>
  </si>
  <si>
    <t>Net (in less out)</t>
  </si>
  <si>
    <t>Balance at the end</t>
  </si>
  <si>
    <t>Lowest balance after spending</t>
  </si>
  <si>
    <t>IN: match fees</t>
  </si>
  <si>
    <t>IN: megastore</t>
  </si>
  <si>
    <t>IN: cup prizes</t>
  </si>
  <si>
    <t>IN: season prize</t>
  </si>
  <si>
    <t>IN: board</t>
  </si>
  <si>
    <t>IN: sponsor</t>
  </si>
  <si>
    <t>IN: commercial manager</t>
  </si>
  <si>
    <t>IN: player sales</t>
  </si>
  <si>
    <t>IN: card sales</t>
  </si>
  <si>
    <t>IN: shared loops (gift, challenges, week, mastery, Journey, streak, match of the day)</t>
  </si>
  <si>
    <t>IN: club income</t>
  </si>
  <si>
    <t>IN: ads</t>
  </si>
  <si>
    <t>OUT: ground</t>
  </si>
  <si>
    <t>OUT: staff fees</t>
  </si>
  <si>
    <t>OUT: staff wages</t>
  </si>
  <si>
    <t>OUT: wage drain</t>
  </si>
  <si>
    <t>OUT: transfers</t>
  </si>
  <si>
    <t>OUT: training</t>
  </si>
  <si>
    <t>OUT: contracts</t>
  </si>
  <si>
    <t>OUT: other cards</t>
  </si>
  <si>
    <t>Club matchday income (fees, megastore, sponsor, commercial)</t>
  </si>
  <si>
    <t>Staff wages / club matchday income</t>
  </si>
  <si>
    <t>Wages, drain and contracts / coins in</t>
  </si>
  <si>
    <t>Player wages a week</t>
  </si>
  <si>
    <t>Wage budget</t>
  </si>
  <si>
    <t>Matchdays staff unpaid</t>
  </si>
  <si>
    <t>Matchdays a wage drain took coins</t>
  </si>
  <si>
    <t>Team rating</t>
  </si>
  <si>
    <t>Division par (rivals)</t>
  </si>
  <si>
    <t>Squad</t>
  </si>
  <si>
    <t>Parts built (of 13)</t>
  </si>
  <si>
    <t>Staff levels (of 18)</t>
  </si>
  <si>
    <t>Gems in</t>
  </si>
  <si>
    <t>Gems out</t>
  </si>
  <si>
    <t>Gems at the end</t>
  </si>
  <si>
    <t>Tickets in</t>
  </si>
  <si>
    <t>Tickets out</t>
  </si>
  <si>
    <t>Cards signed</t>
  </si>
  <si>
    <t>Cards sold</t>
  </si>
  <si>
    <t>Manager level</t>
  </si>
  <si>
    <t>Career learning, 45/25/30, no ads</t>
  </si>
  <si>
    <t>PARK LEAGUE</t>
  </si>
  <si>
    <t>stayed</t>
  </si>
  <si>
    <t>promoted</t>
  </si>
  <si>
    <t>DISTRICT LEAGUE</t>
  </si>
  <si>
    <t>SUNDAY LEAGUE</t>
  </si>
  <si>
    <t>COUNTY LEAGUE</t>
  </si>
  <si>
    <t>NATIONAL LEAGUE</t>
  </si>
  <si>
    <t>LEAGUE ONE</t>
  </si>
  <si>
    <t>Career regular, 60/20/20, no ads</t>
  </si>
  <si>
    <t>CHAMPIONSHIP</t>
  </si>
  <si>
    <t>ELITE LEAGUE</t>
  </si>
  <si>
    <t>relegated</t>
  </si>
  <si>
    <t>Career strong, 75/15/10, every ad</t>
  </si>
  <si>
    <t>Career regular, every ad</t>
  </si>
  <si>
    <t>Career regular, signs every better card, hires everyone</t>
  </si>
  <si>
    <t>ROAD TO GLORY played matchday by matchday on the game's own engine for 180 days (seed 15102026): the league, the cups, the week at the club, the staff, the ground, the board and the event cards are the real rules. ASSUMED: who wins. The profile's mix (45/25/30, 60/20/20, 75/15/10) holds when the two elevens are level on Normal; every rating point between them moves 1.5 points of a hundred between wins and defeats (up to 25); Hard (the Championship) takes 10 off the wins and Legend (the Elite League) 20. THE MANAGER: keeps 3 matchdays of staff wages in the wallet; builds the cheapest part of the ground he can; hires staff in order while their wages stay under 50% of what a league matchday brings; opens every pack and signs a card that beats a starter when the wage budget allows, else sells it; signs or trains only when the eleven is under its division's par; buys the Local network, the Club Pass, then the other networks with gems. Everything else is saved: the balance is what is left for looks. Only finished seasons are rows. Not player telemetry.</t>
  </si>
  <si>
    <t>Headline by profile</t>
  </si>
  <si>
    <t>Days modelled</t>
  </si>
  <si>
    <t>Seasons finished</t>
  </si>
  <si>
    <t>Division at the end</t>
  </si>
  <si>
    <t>Coins earned</t>
  </si>
  <si>
    <t>Coins spent</t>
  </si>
  <si>
    <t>Gems earned</t>
  </si>
  <si>
    <t>Gems spent</t>
  </si>
  <si>
    <t>Day every coin sink is paid for</t>
  </si>
  <si>
    <t>Average fee of a won match</t>
  </si>
  <si>
    <t>Promotions</t>
  </si>
  <si>
    <t>Promoted to</t>
  </si>
  <si>
    <t>In season</t>
  </si>
  <si>
    <t>On day</t>
  </si>
  <si>
    <t>Division 7</t>
  </si>
  <si>
    <t>Division 6</t>
  </si>
  <si>
    <t>Division 5</t>
  </si>
  <si>
    <t>Division 4</t>
  </si>
  <si>
    <t>Division 3</t>
  </si>
  <si>
    <t>Division 2</t>
  </si>
  <si>
    <t>Division 1</t>
  </si>
  <si>
    <t>Days to each goal</t>
  </si>
  <si>
    <t>A mid look in the wallet (1,200 coins)</t>
  </si>
  <si>
    <t>A top look in the wallet (7,500 coins)</t>
  </si>
  <si>
    <t>The whole ground built</t>
  </si>
  <si>
    <t>Every member of staff at level 3</t>
  </si>
  <si>
    <t>All three Scouting Networks</t>
  </si>
  <si>
    <t>The ground, part by part (Career regular)</t>
  </si>
  <si>
    <t>Part</t>
  </si>
  <si>
    <t>Match</t>
  </si>
  <si>
    <t>Matches since the last part</t>
  </si>
  <si>
    <t>By stage: club income, coins that need no match, and the welcome sheet's ad</t>
  </si>
  <si>
    <t>Club income a day</t>
  </si>
  <si>
    <t>Club income / the rest</t>
  </si>
  <si>
    <t>No-match coins a day</t>
  </si>
  <si>
    <t>Match coins a day</t>
  </si>
  <si>
    <t>No-match / match</t>
  </si>
  <si>
    <t>Fee of a won match</t>
  </si>
  <si>
    <t>Welcome sheet ad, coins</t>
  </si>
  <si>
    <t>Ad in won matches</t>
  </si>
  <si>
    <t>91 to 180</t>
  </si>
  <si>
    <t>Shared profiles, 90 days: coins that need no match against coins from matches</t>
  </si>
  <si>
    <t>No-match coins</t>
  </si>
  <si>
    <t>Match coins</t>
  </si>
  <si>
    <t>The sponsor card, the same answer at every call (Career regular)</t>
  </si>
  <si>
    <t>Answer</t>
  </si>
  <si>
    <t>League matchdays</t>
  </si>
  <si>
    <t>Coins a league matchday</t>
  </si>
  <si>
    <t>EVERY MATCH</t>
  </si>
  <si>
    <t>WIN BONUS</t>
  </si>
  <si>
    <t>CASH NOW</t>
  </si>
  <si>
    <t>Trades that try to make coins without playing</t>
  </si>
  <si>
    <t>Trade</t>
  </si>
  <si>
    <t>How</t>
  </si>
  <si>
    <t>Player OVR</t>
  </si>
  <si>
    <t>Coins back</t>
  </si>
  <si>
    <t>Profit</t>
  </si>
  <si>
    <t>Profit in league wins</t>
  </si>
  <si>
    <t>A league win there</t>
  </si>
  <si>
    <t>Free agent at his asking price, sold at once</t>
  </si>
  <si>
    <t>quick sale, 45% of his value</t>
  </si>
  <si>
    <t>Free agent, sold the same season before 6 league starts (best offer)</t>
  </si>
  <si>
    <t>offers capped at 1.1 x what was paid</t>
  </si>
  <si>
    <t>Free agent, sold after 6 league starts (expected offer)</t>
  </si>
  <si>
    <t>AI offers are 70 to 95% of his value</t>
  </si>
  <si>
    <t>A training session, then sold (the value +2 adds)</t>
  </si>
  <si>
    <t>the value added against the session</t>
  </si>
  <si>
    <t>A scout's home youth find, sold at once</t>
  </si>
  <si>
    <t>quick sale</t>
  </si>
  <si>
    <t>A scout's home youth find, sold after 6 league starts (expected offer)</t>
  </si>
  <si>
    <t>needs a squad place, an open window and an offer (65% a week)</t>
  </si>
  <si>
    <t>An academy prospect, promoted and sold at once</t>
  </si>
  <si>
    <t>two to five a season, none after a season of walk-offs</t>
  </si>
  <si>
    <t>A league matchday by division, at a park pitch and at the dome (Career regular's results)</t>
  </si>
  <si>
    <t>Par OVR</t>
  </si>
  <si>
    <t>Win fee</t>
  </si>
  <si>
    <t>Expected fee a match</t>
  </si>
  <si>
    <t>Sponsor a match (no manager)</t>
  </si>
  <si>
    <t>Megastore at home</t>
  </si>
  <si>
    <t>Full staff wages</t>
  </si>
  <si>
    <t>Full staff / matchday income</t>
  </si>
  <si>
    <t>10% over budget costs a matchday</t>
  </si>
  <si>
    <t>Relegated here with the wage bill of the division above: drain a matchday until players are sold</t>
  </si>
  <si>
    <t>A par signing</t>
  </si>
  <si>
    <t>A training session</t>
  </si>
  <si>
    <t>XP: the day and the match each level that unlocks something is reached</t>
  </si>
  <si>
    <t>Unlocks</t>
  </si>
  <si>
    <t>Level</t>
  </si>
  <si>
    <t>Retro (ball, or 250 coins)</t>
  </si>
  <si>
    <t>title Local Talent, Knee slide (celebration, or 300 coins)</t>
  </si>
  <si>
    <t>Blaze (ball, or 600 coins)</t>
  </si>
  <si>
    <t>title Rising Star, Shush (celebration, or 450 coins)</t>
  </si>
  <si>
    <t>Ice (ball, or 900 coins)</t>
  </si>
  <si>
    <t>title First Teamer, Aeroplane (celebration, or 600 coins)</t>
  </si>
  <si>
    <t>Neon (ball, or 1000 coins)</t>
  </si>
  <si>
    <t>Robot (celebration, or 800 coins)</t>
  </si>
  <si>
    <t>title Fan Favourite</t>
  </si>
  <si>
    <t>Backflip (celebration, or 1200 coins)</t>
  </si>
  <si>
    <t>Gold (ball, or 2500 coins)</t>
  </si>
  <si>
    <t>title Club Captain</t>
  </si>
  <si>
    <t>Pile on (celebration, or 1800 coins)</t>
  </si>
  <si>
    <t>Beach (ball, or 400 coins)</t>
  </si>
  <si>
    <t>title Cult Hero</t>
  </si>
  <si>
    <t>Melon (ball, or 450 coins)</t>
  </si>
  <si>
    <t>Hoops (ball, or 700 coins)</t>
  </si>
  <si>
    <t>title Star Striker</t>
  </si>
  <si>
    <t>Eight (ball, or 800 coins)</t>
  </si>
  <si>
    <t>Moon (ball, or 1200 coins)</t>
  </si>
  <si>
    <t>title Golden Boot, Disco (ball, or 1800 coins)</t>
  </si>
  <si>
    <t>Planet (ball, or 4500 coins)</t>
  </si>
  <si>
    <t>title Blocky Legend, Diamond (ball, or 7500 coins)</t>
  </si>
  <si>
    <t>Where it came from and where it went, the whole run</t>
  </si>
  <si>
    <t>Source or sink</t>
  </si>
  <si>
    <t>Kind</t>
  </si>
  <si>
    <t>Amount</t>
  </si>
  <si>
    <t>Share of its kind</t>
  </si>
  <si>
    <t>matchFees</t>
  </si>
  <si>
    <t>megastore</t>
  </si>
  <si>
    <t>cupPrizes</t>
  </si>
  <si>
    <t>seasonPrizes</t>
  </si>
  <si>
    <t>board</t>
  </si>
  <si>
    <t>sponsor</t>
  </si>
  <si>
    <t>commercial</t>
  </si>
  <si>
    <t>events</t>
  </si>
  <si>
    <t>playerSales</t>
  </si>
  <si>
    <t>cardSales</t>
  </si>
  <si>
    <t>passTrack</t>
  </si>
  <si>
    <t>playStreak</t>
  </si>
  <si>
    <t>ground</t>
  </si>
  <si>
    <t>staffFees</t>
  </si>
  <si>
    <t>staffWages</t>
  </si>
  <si>
    <t>contracts</t>
  </si>
  <si>
    <t>legacy</t>
  </si>
  <si>
    <t>trophies</t>
  </si>
  <si>
    <t>scoutNetwork</t>
  </si>
  <si>
    <t>scoutPacks</t>
  </si>
  <si>
    <t>adGift</t>
  </si>
  <si>
    <t>adMatch</t>
  </si>
  <si>
    <t>adCoins</t>
  </si>
  <si>
    <t>transfers</t>
  </si>
  <si>
    <t>training</t>
  </si>
  <si>
    <t>elitePacks</t>
  </si>
  <si>
    <t>The balance every five days</t>
  </si>
  <si>
    <t>Balance</t>
  </si>
  <si>
    <t>Earned so far</t>
  </si>
  <si>
    <t>Spent so far</t>
  </si>
  <si>
    <t>The balance after every match (Career regular)</t>
  </si>
  <si>
    <t>Competition</t>
  </si>
  <si>
    <t>Result</t>
  </si>
  <si>
    <t>Match number</t>
  </si>
  <si>
    <t>Coins the match paid</t>
  </si>
  <si>
    <t>Balance after the hub</t>
  </si>
  <si>
    <t>league</t>
  </si>
  <si>
    <t>W</t>
  </si>
  <si>
    <t>L</t>
  </si>
  <si>
    <t>D</t>
  </si>
  <si>
    <t>cup</t>
  </si>
  <si>
    <t>continental</t>
  </si>
  <si>
    <t>world</t>
  </si>
  <si>
    <t>Rewarded ads taken, by placement (a player who watches every one)</t>
  </si>
  <si>
    <t>Placement</t>
  </si>
  <si>
    <t>Offered</t>
  </si>
  <si>
    <t>Taken in the run</t>
  </si>
  <si>
    <t>A day played</t>
  </si>
  <si>
    <t>Coins each</t>
  </si>
  <si>
    <t>Share of his coins</t>
  </si>
  <si>
    <t>Share of his gems</t>
  </si>
  <si>
    <t>What it is worth</t>
  </si>
  <si>
    <t>Daily gift doubled</t>
  </si>
  <si>
    <t>1 a day</t>
  </si>
  <si>
    <t>the gift's coins again</t>
  </si>
  <si>
    <t>Full-time bonus</t>
  </si>
  <si>
    <t>every match</t>
  </si>
  <si>
    <t>the match fee once more: exactly one match</t>
  </si>
  <si>
    <t>FREE COINS</t>
  </si>
  <si>
    <t>5 a day</t>
  </si>
  <si>
    <t>75 coins each</t>
  </si>
  <si>
    <t>FREE GEMS</t>
  </si>
  <si>
    <t>3 gems each</t>
  </si>
  <si>
    <t>One matchday off a build</t>
  </si>
  <si>
    <t>time: 20 gems as a shortcut, pays no currency</t>
  </si>
  <si>
    <t>Heal a player</t>
  </si>
  <si>
    <t>time: 30 gems as a shortcut, pays no currency</t>
  </si>
  <si>
    <t>Replay a lost decider</t>
  </si>
  <si>
    <t>a second go at the same tie (50 gems as a shortcut): worth that match at most</t>
  </si>
  <si>
    <t>A new daily deal</t>
  </si>
  <si>
    <t>not modelled: a different look on offer (15 gems as a shortcut), pays no currency</t>
  </si>
  <si>
    <t>Never an ad against every ad: the day each goal is reached (Career regular, three seeds)</t>
  </si>
  <si>
    <t>No ads, day</t>
  </si>
  <si>
    <t>Every ad, day</t>
  </si>
  <si>
    <t>No ads / every ad</t>
  </si>
  <si>
    <t>Interstitials in a visit (blue cells are inputs)</t>
  </si>
  <si>
    <t>Input</t>
  </si>
  <si>
    <t>Minutes from a kick-off to half time</t>
  </si>
  <si>
    <t>Minutes from half time to the next kick-off</t>
  </si>
  <si>
    <t>Minutes the portal asks for between two</t>
  </si>
  <si>
    <t>Matches a visit</t>
  </si>
  <si>
    <t>Minutes a visit</t>
  </si>
  <si>
    <t>Interstitials, the save's first visit (model)</t>
  </si>
  <si>
    <t>Interstitials, a later visit (formula)</t>
  </si>
  <si>
    <t>An hour of play</t>
  </si>
  <si>
    <t>Rewarded ads a day played</t>
  </si>
  <si>
    <t>THE RULE MODELLED: one interstitial before a kick-off, never the first match of a visit; one at half time; none until two matches are finished on the save; and the portal's SDK lets one through every 3 minutes at most. At the default 2 minute halves half time comes 2.5 minutes after a kick-off ad, inside the 3 minutes, so a visit of N matches shows N: the half time of the first match and the kick-off of every later one. One every six minutes, ten an hour. With 3 minute halves both slots clear the gap and it would be 2N - 1. Rewarded ads are the player's choice and are counted apart. MODELLED, NOT BUILT HERE: the welcome sheet's ad doubling the ticket office, HEAL A PLAYER by ad, the replay ad, the half time interstitial. Club Run is not in the career simulation.</t>
  </si>
  <si>
    <t>Area</t>
  </si>
  <si>
    <t>Check</t>
  </si>
  <si>
    <t>The bar</t>
  </si>
  <si>
    <t>Limit</t>
  </si>
  <si>
    <t>Measured</t>
  </si>
  <si>
    <t>Before this pass</t>
  </si>
  <si>
    <t>Unit</t>
  </si>
  <si>
    <t>What it shows</t>
  </si>
  <si>
    <t>The model</t>
  </si>
  <si>
    <t>Every league matchday settles to the coin against the rules read beforehand</t>
  </si>
  <si>
    <t>No coin unaccounted for</t>
  </si>
  <si>
    <t>Wages, the wage drain, the sponsor, the commercial manager and the season prize, itemised before the engine settles the matchday.</t>
  </si>
  <si>
    <t>Wages</t>
  </si>
  <si>
    <t>Matchdays the staff went unpaid, careful manager, all three profiles, every division</t>
  </si>
  <si>
    <t>Never</t>
  </si>
  <si>
    <t>matchdays</t>
  </si>
  <si>
    <t>Lowest balance after spending in any season: 50 coins (the wage reserve of a new club).</t>
  </si>
  <si>
    <t>Coins the wage drain took from a careful manager, against what his league matchdays brought</t>
  </si>
  <si>
    <t>Under 1%</t>
  </si>
  <si>
    <t>share</t>
  </si>
  <si>
    <t>0 matchdays in 84 seasons: he sells down to the budget before a new season's first match. One who does not, relegated to the County League with the wage bill of the division above, is drained 1185 coins a matchday (an expected match fee there is 207) until players are sold.</t>
  </si>
  <si>
    <t>Staff wages against what league matchdays bring the club, worst season of any profile</t>
  </si>
  <si>
    <t>Under two thirds</t>
  </si>
  <si>
    <t>The full staff costs the same 320 a matchday in every division: it is paced by the division, not by the fee.</t>
  </si>
  <si>
    <t>A collector who signs every better card and hires everyone: wages, drain and contracts against all he earns, worst season</t>
  </si>
  <si>
    <t>Under 100% (no death spiral)</t>
  </si>
  <si>
    <t>His wage drain alone reaches 190% of what his league matchdays bring: the brake on a squad far over its division. He still promotes; his ground is finished on day 28 instead of 15.</t>
  </si>
  <si>
    <t>Sinks</t>
  </si>
  <si>
    <t>Matches between one part of the ground and the next, regular player, longest wait</t>
  </si>
  <si>
    <t>8 matches at most</t>
  </si>
  <si>
    <t>Every wait: 1, 7, 1, 1, 3, 1, 2, 7, 3, 2, 3, 3, 7. One part goes up at a time and takes one or two matchdays.</t>
  </si>
  <si>
    <t>The whole ground (35,600 coins), regular player</t>
  </si>
  <si>
    <t>Inside 6 weeks of daily play</t>
  </si>
  <si>
    <t>days</t>
  </si>
  <si>
    <t>Learning (3 days a week): day 50. Strong with every ad: day 7.</t>
  </si>
  <si>
    <t>Every member of staff at level 3 (24,900 coins of fees), regular player</t>
  </si>
  <si>
    <t>Inside 10 weeks of daily play</t>
  </si>
  <si>
    <t>Paced by the division (wages). Learning: not inside the run.</t>
  </si>
  <si>
    <t>A mid look (1,200 coins) in the wallet beside the club, regular player</t>
  </si>
  <si>
    <t>Inside 5 days</t>
  </si>
  <si>
    <t>Learning: day 10.</t>
  </si>
  <si>
    <t>A top look (7,500 coins) in the wallet beside the club, regular player</t>
  </si>
  <si>
    <t>Inside 3 weeks</t>
  </si>
  <si>
    <t>Learning: day 45.</t>
  </si>
  <si>
    <t>Sources</t>
  </si>
  <si>
    <t>Coins that need no match (gift, ticket office, match of the day, streak day, coin ads) against coins from matches, worst profile and stage</t>
  </si>
  <si>
    <t>Under what the matches pay (100%)</t>
  </si>
  <si>
    <t>Shared profiles over 90 days: Learning, no ads 68%, Casual, no ads 48%, Regular, no ads 42%, Keen, optional ads 46%, Regular + paid Coin Doubler 34%.</t>
  </si>
  <si>
    <t>Club income against the rest of a day's coins, every profile (shared, portal, career) at every stage</t>
  </si>
  <si>
    <t>Under a quarter</t>
  </si>
  <si>
    <t>Before: Keen, optional ads, days 31 to 90. The lever was the ticket office: 16 / 19 / 22 / 25 / 28 / 32 became 16 / 18 / 20 / 22 / 24 / 26 coins an hour.</t>
  </si>
  <si>
    <t>Arbitrage</t>
  </si>
  <si>
    <t>The sponsor card: CASH NOW taken every time against EVERY MATCH, coins a league matchday</t>
  </si>
  <si>
    <t>No answer more than a quarter better</t>
  </si>
  <si>
    <t>ratio</t>
  </si>
  <si>
    <t>Coins a league matchday: EVERY MATCH 155, WIN BONUS 185, CASH NOW 148. Before, a new sponsor called 3 matchdays after the cash was taken.</t>
  </si>
  <si>
    <t>Buy and sell at once (a free agent, a scout's find), train and sell: best profit</t>
  </si>
  <si>
    <t>Nothing</t>
  </si>
  <si>
    <t>A quick sale is 45% of value; a session adds a fraction of its cost to a player's value.</t>
  </si>
  <si>
    <t>Buy, play him six league starts, sell: expected profit in league wins, best case</t>
  </si>
  <si>
    <t>Two league wins at most</t>
  </si>
  <si>
    <t>wins</t>
  </si>
  <si>
    <t>The scout's home youth find is the bargain it is meant to be; a free agent resold loses money on average.</t>
  </si>
  <si>
    <t>Currencies</t>
  </si>
  <si>
    <t>Scout Tickets left unspent at the end, regular player</t>
  </si>
  <si>
    <t>Under 5% of those earned</t>
  </si>
  <si>
    <t>122 cards signed and 417 sold for their resale credit (4.4% of his coins): a ticket always has a use.</t>
  </si>
  <si>
    <t>The dearest gem goal (Club Pass and all three networks, 2,300 gems) on a portal with nothing for sale, slowest profile</t>
  </si>
  <si>
    <t>Inside the modelled year</t>
  </si>
  <si>
    <t>Career regular, no ads: Local network day 5, Club Pass day 22, all three networks day 66.</t>
  </si>
  <si>
    <t>Lopsided</t>
  </si>
  <si>
    <t>Share of a regular player's spending that goes on players (transfers and training)</t>
  </si>
  <si>
    <t>At least a tenth</t>
  </si>
  <si>
    <t>Pack cards are drawn against his own eleven, four a day, free: 122 signed in 180 days keep it above its division's par with no coins. DESIGN DECISION, not a number.</t>
  </si>
  <si>
    <t>The day a regular player has paid for every coin sink in the game (ground, staff, the whole look catalogue)</t>
  </si>
  <si>
    <t>Not inside 60 days</t>
  </si>
  <si>
    <t>Strong with every ad: day 25. Learning: beyond 180. After it nothing is left to buy but players. DESIGN DECISION: late sinks.</t>
  </si>
  <si>
    <t>Ads</t>
  </si>
  <si>
    <t>A player who never watches an ad against one who watches them all: days to each goal, worst ratio</t>
  </si>
  <si>
    <t>Twice the time at most</t>
  </si>
  <si>
    <t>A mid look in the wallet (1,200 coins): 4 against 3; A top look in the wallet (7,500 coins): 14 against 10; The whole ground built: 14 against 11; Every member of staff at level 3: 36 against 36; Local Scouting Network: 5 against 4; Club Pass: 20 against 17; All three Scouting Networks: 68 against 56</t>
  </si>
  <si>
    <t>The daily gift's 2X ad against a won match's fee at the same stage, worst stage</t>
  </si>
  <si>
    <t>About one match win (a quarter over at most)</t>
  </si>
  <si>
    <t>Days 1 to 7: the ad adds 250 coins on average, a won match pays 233. Doubling the ticket office with it as well made this 1.8 and was taken out. The full-time bonus is one match by rule; FREE COINS is 75.</t>
  </si>
  <si>
    <t>Share of coins that come from ads for a regular player who watches every one</t>
  </si>
  <si>
    <t>Under half</t>
  </si>
  <si>
    <t>Strong, 6 matches a day: 29%. The full-time bonus on every match is nearly all of it.</t>
  </si>
  <si>
    <t>HOW TO READ IT: the green Measured cells are formulas over Career By Season, Career Tables, Club Income and Ads; the blue Limit cells are the bars. Change a limit, or a number on those sheets, and the result moves. A value with no formula is the model's own measurement (scripts/economy-model.ts) and moves only when the model is run again. "Before this pass" is the same measurement on the rules of 14 October 2026. The club income check reads the share rows of the Club Income sheet (rows 14 to 40) and the stage table of Career Tables.</t>
  </si>
  <si>
    <t>15 OCTOBER 2026, ECONOMY V7: DOES THE WHOLE ECONOMY BALANCE?</t>
  </si>
  <si>
    <t>For the first five to six weeks of daily play, yes: 20 of 22 checks pass on the sheet Balance Checks. No division's wages outrun its income, no sink is out of reach (the whole ground on day 15 and every member of staff on day 34 for a regular player), no daily or idle source pays more than playing, no trade makes coins without playing, tickets and gems always have a use, and a player who never watches an ad is never more than twice as slow. At the top, no: a regular player has paid for every coin sink in the game by day 57 and then banks about 24,000 coins a week with nothing to buy; his squad costs him no coins at all because pack cards do the work; and the welcome sheet's ad is worth nearly two won matches in week one. Those three need a design decision, not a number.</t>
  </si>
  <si>
    <t>WHAT WAS CHANGED (three numbers, nothing a player owns): the ticket office pays 16 / 18 / 20 / 22 / 24 / 26 coins an hour instead of 16 / 19 / 22 / 25 / 28 / 32, so club income is 22% of the rest of a keen player's day at the most instead of 27%; a new sponsor calls 8 league matchdays after the last instead of 3, so CASH NOW no longer pays 2.4 times the other answers; a home town scout's fee is 0.8 of the going rate instead of 0.75, so a find can no longer be signed and sold at once for a profit.</t>
  </si>
  <si>
    <t>NEW SHEETS: Career By Season (the career simulated season by season), Career Tables (what the checks read), Balance Checks (the bar, the measured value, PASS or FAIL) and Ads (rewarded ads by placement, the no-ad comparison, interstitials a visit).</t>
  </si>
</sst>
</file>

<file path=xl/styles.xml><?xml version="1.0" encoding="utf-8"?>
<styleSheet xmlns="http://schemas.openxmlformats.org/spreadsheetml/2006/main">
  <numFmts count="5">
    <numFmt numFmtId="164" formatCode="0.0"/>
    <numFmt numFmtId="165" formatCode="0%"/>
    <numFmt numFmtId="166" formatCode="&quot;US$&quot;0.00"/>
    <numFmt numFmtId="167" formatCode="#,##0"/>
    <numFmt numFmtId="168" formatCode="0.0%"/>
  </numFmts>
  <fonts count="8">
    <font>
      <sz val="11"/>
      <color theme="1"/>
      <name val="Calibri"/>
      <family val="2"/>
      <scheme val="minor"/>
    </font>
    <font>
      <b/>
      <sz val="22"/>
      <color rgb="FF172434"/>
      <name val="Calibri"/>
      <family val="2"/>
      <scheme val="minor"/>
    </font>
    <font>
      <sz val="11"/>
      <color rgb="FF576170"/>
      <name val="Calibri"/>
      <family val="2"/>
      <scheme val="minor"/>
    </font>
    <font>
      <b/>
      <sz val="13"/>
      <color rgb="FF172434"/>
      <name val="Calibri"/>
      <family val="2"/>
      <scheme val="minor"/>
    </font>
    <font>
      <b/>
      <sz val="11"/>
      <color rgb="FFFFFFFF"/>
      <name val="Calibri"/>
      <family val="2"/>
      <scheme val="minor"/>
    </font>
    <font>
      <sz val="11"/>
      <color rgb="FF1768AE"/>
      <name val="Calibri"/>
      <family val="2"/>
      <scheme val="minor"/>
    </font>
    <font>
      <b/>
      <sz val="11"/>
      <color rgb="FF0B6B3A"/>
      <name val="Calibri"/>
      <family val="2"/>
      <scheme val="minor"/>
    </font>
    <font>
      <b/>
      <sz val="11"/>
      <color rgb="FF9C1C1C"/>
      <name val="Calibri"/>
      <family val="2"/>
      <scheme val="minor"/>
    </font>
  </fonts>
  <fills count="7">
    <fill>
      <patternFill patternType="none"/>
    </fill>
    <fill>
      <patternFill patternType="gray125"/>
    </fill>
    <fill>
      <patternFill patternType="solid">
        <fgColor rgb="FF172434"/>
        <bgColor indexed="64"/>
      </patternFill>
    </fill>
    <fill>
      <patternFill patternType="solid">
        <fgColor rgb="FFE9F3FF"/>
        <bgColor indexed="64"/>
      </patternFill>
    </fill>
    <fill>
      <patternFill patternType="solid">
        <fgColor rgb="FFE4F5EC"/>
        <bgColor indexed="64"/>
      </patternFill>
    </fill>
    <fill>
      <patternFill patternType="solid">
        <fgColor rgb="FFDDF3E4"/>
        <bgColor indexed="64"/>
      </patternFill>
    </fill>
    <fill>
      <patternFill patternType="solid">
        <fgColor rgb="FFFBE0E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3" fillId="0" borderId="0" xfId="0" applyFont="1"/>
    <xf numFmtId="0" fontId="4" fillId="2" borderId="0" xfId="0" applyFont="1" applyFill="1" applyAlignment="1">
      <alignment vertical="center" wrapText="1"/>
    </xf>
    <xf numFmtId="164" fontId="5" fillId="3" borderId="0" xfId="0" applyNumberFormat="1" applyFont="1" applyFill="1"/>
    <xf numFmtId="165" fontId="5" fillId="3" borderId="0" xfId="0" applyNumberFormat="1" applyFont="1" applyFill="1"/>
    <xf numFmtId="164" fontId="0" fillId="4" borderId="0" xfId="0" applyNumberFormat="1" applyFill="1"/>
    <xf numFmtId="166" fontId="0" fillId="0" borderId="0" xfId="0" applyNumberFormat="1"/>
    <xf numFmtId="165" fontId="0" fillId="0" borderId="0" xfId="0" applyNumberFormat="1"/>
    <xf numFmtId="167" fontId="0" fillId="0" borderId="0" xfId="0" applyNumberFormat="1"/>
    <xf numFmtId="167" fontId="0" fillId="4" borderId="0" xfId="0" applyNumberFormat="1" applyFill="1"/>
    <xf numFmtId="168" fontId="0" fillId="4" borderId="0" xfId="0" applyNumberFormat="1" applyFill="1"/>
    <xf numFmtId="168" fontId="0" fillId="0" borderId="0" xfId="0" applyNumberFormat="1"/>
    <xf numFmtId="164" fontId="0" fillId="0" borderId="0" xfId="0" applyNumberFormat="1"/>
    <xf numFmtId="0" fontId="6" fillId="5" borderId="0" xfId="0" applyFont="1" applyFill="1"/>
    <xf numFmtId="0" fontId="7" fillId="6" borderId="0" xfId="0" applyFont="1" applyFill="1"/>
  </cellXfs>
  <cellStyles count="1">
    <cellStyle name="Normal" xfId="0" builtinId="0"/>
  </cellStyles>
  <dxfs count="2">
    <dxf>
      <font>
        <b/>
        <color rgb="FF0B6B3A"/>
      </font>
      <fill>
        <patternFill>
          <bgColor rgb="FFDDF3E4"/>
        </patternFill>
      </fill>
    </dxf>
    <dxf>
      <font>
        <b/>
        <color rgb="FF9C1C1C"/>
      </font>
      <fill>
        <patternFill>
          <bgColor rgb="FFFBE0E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Earned gems before spending</a:t>
            </a:r>
          </a:p>
        </c:rich>
      </c:tx>
      <c:layout/>
    </c:title>
    <c:plotArea>
      <c:layout/>
      <c:lineChart>
        <c:grouping val="standard"/>
        <c:ser>
          <c:idx val="0"/>
          <c:order val="0"/>
          <c:tx>
            <c:v>Learning, no ads</c:v>
          </c:tx>
          <c:marker>
            <c:symbol val="none"/>
          </c:marker>
          <c:cat>
            <c:numRef>
              <c:f>'90 Day Ledger'!$B$2:$B$91</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cat>
          <c:val>
            <c:numRef>
              <c:f>'90 Day Ledger'!$G$2:$G$91</c:f>
              <c:numCache>
                <c:formatCode>General</c:formatCode>
                <c:ptCount val="90"/>
                <c:pt idx="0">
                  <c:v>82</c:v>
                </c:pt>
                <c:pt idx="1">
                  <c:v>82</c:v>
                </c:pt>
                <c:pt idx="2">
                  <c:v>87</c:v>
                </c:pt>
                <c:pt idx="3">
                  <c:v>87</c:v>
                </c:pt>
                <c:pt idx="4">
                  <c:v>87</c:v>
                </c:pt>
                <c:pt idx="5">
                  <c:v>114</c:v>
                </c:pt>
                <c:pt idx="6">
                  <c:v>114</c:v>
                </c:pt>
                <c:pt idx="7">
                  <c:v>119</c:v>
                </c:pt>
                <c:pt idx="8">
                  <c:v>119</c:v>
                </c:pt>
                <c:pt idx="9">
                  <c:v>131</c:v>
                </c:pt>
                <c:pt idx="10">
                  <c:v>131</c:v>
                </c:pt>
                <c:pt idx="11">
                  <c:v>131</c:v>
                </c:pt>
                <c:pt idx="12">
                  <c:v>149</c:v>
                </c:pt>
                <c:pt idx="13">
                  <c:v>149</c:v>
                </c:pt>
                <c:pt idx="14">
                  <c:v>179</c:v>
                </c:pt>
                <c:pt idx="15">
                  <c:v>179</c:v>
                </c:pt>
                <c:pt idx="16">
                  <c:v>181</c:v>
                </c:pt>
                <c:pt idx="17">
                  <c:v>181</c:v>
                </c:pt>
                <c:pt idx="18">
                  <c:v>181</c:v>
                </c:pt>
                <c:pt idx="19">
                  <c:v>181</c:v>
                </c:pt>
                <c:pt idx="20">
                  <c:v>181</c:v>
                </c:pt>
                <c:pt idx="21">
                  <c:v>196</c:v>
                </c:pt>
                <c:pt idx="22">
                  <c:v>196</c:v>
                </c:pt>
                <c:pt idx="23">
                  <c:v>218</c:v>
                </c:pt>
                <c:pt idx="24">
                  <c:v>218</c:v>
                </c:pt>
                <c:pt idx="25">
                  <c:v>218</c:v>
                </c:pt>
                <c:pt idx="26">
                  <c:v>218</c:v>
                </c:pt>
                <c:pt idx="27">
                  <c:v>218</c:v>
                </c:pt>
                <c:pt idx="28">
                  <c:v>218</c:v>
                </c:pt>
                <c:pt idx="29">
                  <c:v>218</c:v>
                </c:pt>
                <c:pt idx="30">
                  <c:v>238</c:v>
                </c:pt>
                <c:pt idx="31">
                  <c:v>238</c:v>
                </c:pt>
                <c:pt idx="32">
                  <c:v>238</c:v>
                </c:pt>
                <c:pt idx="33">
                  <c:v>263</c:v>
                </c:pt>
                <c:pt idx="34">
                  <c:v>263</c:v>
                </c:pt>
                <c:pt idx="35">
                  <c:v>263</c:v>
                </c:pt>
                <c:pt idx="36">
                  <c:v>263</c:v>
                </c:pt>
                <c:pt idx="37">
                  <c:v>288</c:v>
                </c:pt>
                <c:pt idx="38">
                  <c:v>288</c:v>
                </c:pt>
                <c:pt idx="39">
                  <c:v>288</c:v>
                </c:pt>
                <c:pt idx="40">
                  <c:v>303</c:v>
                </c:pt>
                <c:pt idx="41">
                  <c:v>303</c:v>
                </c:pt>
                <c:pt idx="42">
                  <c:v>303</c:v>
                </c:pt>
                <c:pt idx="43">
                  <c:v>303</c:v>
                </c:pt>
                <c:pt idx="44">
                  <c:v>306</c:v>
                </c:pt>
                <c:pt idx="45">
                  <c:v>306</c:v>
                </c:pt>
                <c:pt idx="46">
                  <c:v>306</c:v>
                </c:pt>
                <c:pt idx="47">
                  <c:v>351</c:v>
                </c:pt>
                <c:pt idx="48">
                  <c:v>351</c:v>
                </c:pt>
                <c:pt idx="49">
                  <c:v>359</c:v>
                </c:pt>
                <c:pt idx="50">
                  <c:v>359</c:v>
                </c:pt>
                <c:pt idx="51">
                  <c:v>369</c:v>
                </c:pt>
                <c:pt idx="52">
                  <c:v>369</c:v>
                </c:pt>
                <c:pt idx="53">
                  <c:v>369</c:v>
                </c:pt>
                <c:pt idx="54">
                  <c:v>374</c:v>
                </c:pt>
                <c:pt idx="55">
                  <c:v>374</c:v>
                </c:pt>
                <c:pt idx="56">
                  <c:v>374</c:v>
                </c:pt>
                <c:pt idx="57">
                  <c:v>374</c:v>
                </c:pt>
                <c:pt idx="58">
                  <c:v>379</c:v>
                </c:pt>
                <c:pt idx="59">
                  <c:v>379</c:v>
                </c:pt>
                <c:pt idx="60">
                  <c:v>379</c:v>
                </c:pt>
                <c:pt idx="61">
                  <c:v>379</c:v>
                </c:pt>
                <c:pt idx="62">
                  <c:v>379</c:v>
                </c:pt>
                <c:pt idx="63">
                  <c:v>409</c:v>
                </c:pt>
                <c:pt idx="64">
                  <c:v>409</c:v>
                </c:pt>
                <c:pt idx="65">
                  <c:v>409</c:v>
                </c:pt>
                <c:pt idx="66">
                  <c:v>409</c:v>
                </c:pt>
                <c:pt idx="67">
                  <c:v>409</c:v>
                </c:pt>
                <c:pt idx="68">
                  <c:v>409</c:v>
                </c:pt>
                <c:pt idx="69">
                  <c:v>409</c:v>
                </c:pt>
                <c:pt idx="70">
                  <c:v>437</c:v>
                </c:pt>
                <c:pt idx="71">
                  <c:v>437</c:v>
                </c:pt>
                <c:pt idx="72">
                  <c:v>437</c:v>
                </c:pt>
                <c:pt idx="73">
                  <c:v>437</c:v>
                </c:pt>
                <c:pt idx="74">
                  <c:v>437</c:v>
                </c:pt>
                <c:pt idx="75">
                  <c:v>452</c:v>
                </c:pt>
                <c:pt idx="76">
                  <c:v>452</c:v>
                </c:pt>
                <c:pt idx="77">
                  <c:v>455</c:v>
                </c:pt>
                <c:pt idx="78">
                  <c:v>455</c:v>
                </c:pt>
                <c:pt idx="79">
                  <c:v>478</c:v>
                </c:pt>
                <c:pt idx="80">
                  <c:v>478</c:v>
                </c:pt>
                <c:pt idx="81">
                  <c:v>478</c:v>
                </c:pt>
                <c:pt idx="82">
                  <c:v>501</c:v>
                </c:pt>
                <c:pt idx="83">
                  <c:v>501</c:v>
                </c:pt>
                <c:pt idx="84">
                  <c:v>519</c:v>
                </c:pt>
                <c:pt idx="85">
                  <c:v>519</c:v>
                </c:pt>
                <c:pt idx="86">
                  <c:v>527</c:v>
                </c:pt>
                <c:pt idx="87">
                  <c:v>527</c:v>
                </c:pt>
                <c:pt idx="88">
                  <c:v>527</c:v>
                </c:pt>
                <c:pt idx="89">
                  <c:v>527</c:v>
                </c:pt>
              </c:numCache>
            </c:numRef>
          </c:val>
        </c:ser>
        <c:ser>
          <c:idx val="1"/>
          <c:order val="1"/>
          <c:tx>
            <c:v>Casual, no ads</c:v>
          </c:tx>
          <c:marker>
            <c:symbol val="none"/>
          </c:marker>
          <c:cat>
            <c:numRef>
              <c:f>'90 Day Ledger'!$B$92:$B$181</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cat>
          <c:val>
            <c:numRef>
              <c:f>'90 Day Ledger'!$G$92:$G$181</c:f>
              <c:numCache>
                <c:formatCode>General</c:formatCode>
                <c:ptCount val="90"/>
                <c:pt idx="0">
                  <c:v>82</c:v>
                </c:pt>
                <c:pt idx="1">
                  <c:v>82</c:v>
                </c:pt>
                <c:pt idx="2">
                  <c:v>84</c:v>
                </c:pt>
                <c:pt idx="3">
                  <c:v>84</c:v>
                </c:pt>
                <c:pt idx="4">
                  <c:v>119</c:v>
                </c:pt>
                <c:pt idx="5">
                  <c:v>119</c:v>
                </c:pt>
                <c:pt idx="6">
                  <c:v>121</c:v>
                </c:pt>
                <c:pt idx="7">
                  <c:v>136</c:v>
                </c:pt>
                <c:pt idx="8">
                  <c:v>136</c:v>
                </c:pt>
                <c:pt idx="9">
                  <c:v>166</c:v>
                </c:pt>
                <c:pt idx="10">
                  <c:v>166</c:v>
                </c:pt>
                <c:pt idx="11">
                  <c:v>211</c:v>
                </c:pt>
                <c:pt idx="12">
                  <c:v>211</c:v>
                </c:pt>
                <c:pt idx="13">
                  <c:v>231</c:v>
                </c:pt>
                <c:pt idx="14">
                  <c:v>243</c:v>
                </c:pt>
                <c:pt idx="15">
                  <c:v>243</c:v>
                </c:pt>
                <c:pt idx="16">
                  <c:v>256</c:v>
                </c:pt>
                <c:pt idx="17">
                  <c:v>256</c:v>
                </c:pt>
                <c:pt idx="18">
                  <c:v>281</c:v>
                </c:pt>
                <c:pt idx="19">
                  <c:v>281</c:v>
                </c:pt>
                <c:pt idx="20">
                  <c:v>313</c:v>
                </c:pt>
                <c:pt idx="21">
                  <c:v>316</c:v>
                </c:pt>
                <c:pt idx="22">
                  <c:v>316</c:v>
                </c:pt>
                <c:pt idx="23">
                  <c:v>349</c:v>
                </c:pt>
                <c:pt idx="24">
                  <c:v>349</c:v>
                </c:pt>
                <c:pt idx="25">
                  <c:v>382</c:v>
                </c:pt>
                <c:pt idx="26">
                  <c:v>382</c:v>
                </c:pt>
                <c:pt idx="27">
                  <c:v>384</c:v>
                </c:pt>
                <c:pt idx="28">
                  <c:v>409</c:v>
                </c:pt>
                <c:pt idx="29">
                  <c:v>409</c:v>
                </c:pt>
                <c:pt idx="30">
                  <c:v>451</c:v>
                </c:pt>
                <c:pt idx="31">
                  <c:v>451</c:v>
                </c:pt>
                <c:pt idx="32">
                  <c:v>461</c:v>
                </c:pt>
                <c:pt idx="33">
                  <c:v>461</c:v>
                </c:pt>
                <c:pt idx="34">
                  <c:v>476</c:v>
                </c:pt>
                <c:pt idx="35">
                  <c:v>499</c:v>
                </c:pt>
                <c:pt idx="36">
                  <c:v>499</c:v>
                </c:pt>
                <c:pt idx="37">
                  <c:v>519</c:v>
                </c:pt>
                <c:pt idx="38">
                  <c:v>519</c:v>
                </c:pt>
                <c:pt idx="39">
                  <c:v>529</c:v>
                </c:pt>
                <c:pt idx="40">
                  <c:v>529</c:v>
                </c:pt>
                <c:pt idx="41">
                  <c:v>534</c:v>
                </c:pt>
                <c:pt idx="42">
                  <c:v>541</c:v>
                </c:pt>
                <c:pt idx="43">
                  <c:v>541</c:v>
                </c:pt>
                <c:pt idx="44">
                  <c:v>556</c:v>
                </c:pt>
                <c:pt idx="45">
                  <c:v>556</c:v>
                </c:pt>
                <c:pt idx="46">
                  <c:v>589</c:v>
                </c:pt>
                <c:pt idx="47">
                  <c:v>589</c:v>
                </c:pt>
                <c:pt idx="48">
                  <c:v>629</c:v>
                </c:pt>
                <c:pt idx="49">
                  <c:v>631</c:v>
                </c:pt>
                <c:pt idx="50">
                  <c:v>631</c:v>
                </c:pt>
                <c:pt idx="51">
                  <c:v>636</c:v>
                </c:pt>
                <c:pt idx="52">
                  <c:v>636</c:v>
                </c:pt>
                <c:pt idx="53">
                  <c:v>654</c:v>
                </c:pt>
                <c:pt idx="54">
                  <c:v>654</c:v>
                </c:pt>
                <c:pt idx="55">
                  <c:v>657</c:v>
                </c:pt>
                <c:pt idx="56">
                  <c:v>675</c:v>
                </c:pt>
                <c:pt idx="57">
                  <c:v>675</c:v>
                </c:pt>
                <c:pt idx="58">
                  <c:v>680</c:v>
                </c:pt>
                <c:pt idx="59">
                  <c:v>680</c:v>
                </c:pt>
                <c:pt idx="60">
                  <c:v>711</c:v>
                </c:pt>
                <c:pt idx="61">
                  <c:v>711</c:v>
                </c:pt>
                <c:pt idx="62">
                  <c:v>736</c:v>
                </c:pt>
                <c:pt idx="63">
                  <c:v>739</c:v>
                </c:pt>
                <c:pt idx="64">
                  <c:v>739</c:v>
                </c:pt>
                <c:pt idx="65">
                  <c:v>749</c:v>
                </c:pt>
                <c:pt idx="66">
                  <c:v>749</c:v>
                </c:pt>
                <c:pt idx="67">
                  <c:v>767</c:v>
                </c:pt>
                <c:pt idx="68">
                  <c:v>767</c:v>
                </c:pt>
                <c:pt idx="69">
                  <c:v>780</c:v>
                </c:pt>
                <c:pt idx="70">
                  <c:v>780</c:v>
                </c:pt>
                <c:pt idx="71">
                  <c:v>780</c:v>
                </c:pt>
                <c:pt idx="72">
                  <c:v>802</c:v>
                </c:pt>
                <c:pt idx="73">
                  <c:v>802</c:v>
                </c:pt>
                <c:pt idx="74">
                  <c:v>805</c:v>
                </c:pt>
                <c:pt idx="75">
                  <c:v>805</c:v>
                </c:pt>
                <c:pt idx="76">
                  <c:v>815</c:v>
                </c:pt>
                <c:pt idx="77">
                  <c:v>822</c:v>
                </c:pt>
                <c:pt idx="78">
                  <c:v>822</c:v>
                </c:pt>
                <c:pt idx="79">
                  <c:v>842</c:v>
                </c:pt>
                <c:pt idx="80">
                  <c:v>842</c:v>
                </c:pt>
                <c:pt idx="81">
                  <c:v>842</c:v>
                </c:pt>
                <c:pt idx="82">
                  <c:v>842</c:v>
                </c:pt>
                <c:pt idx="83">
                  <c:v>850</c:v>
                </c:pt>
                <c:pt idx="84">
                  <c:v>870</c:v>
                </c:pt>
                <c:pt idx="85">
                  <c:v>870</c:v>
                </c:pt>
                <c:pt idx="86">
                  <c:v>875</c:v>
                </c:pt>
                <c:pt idx="87">
                  <c:v>875</c:v>
                </c:pt>
                <c:pt idx="88">
                  <c:v>888</c:v>
                </c:pt>
                <c:pt idx="89">
                  <c:v>888</c:v>
                </c:pt>
              </c:numCache>
            </c:numRef>
          </c:val>
        </c:ser>
        <c:ser>
          <c:idx val="2"/>
          <c:order val="2"/>
          <c:tx>
            <c:v>Regular, no ads</c:v>
          </c:tx>
          <c:marker>
            <c:symbol val="none"/>
          </c:marker>
          <c:cat>
            <c:numRef>
              <c:f>'90 Day Ledger'!$B$182:$B$271</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cat>
          <c:val>
            <c:numRef>
              <c:f>'90 Day Ledger'!$G$182:$G$271</c:f>
              <c:numCache>
                <c:formatCode>General</c:formatCode>
                <c:ptCount val="90"/>
                <c:pt idx="0">
                  <c:v>82</c:v>
                </c:pt>
                <c:pt idx="1">
                  <c:v>99</c:v>
                </c:pt>
                <c:pt idx="2">
                  <c:v>139</c:v>
                </c:pt>
                <c:pt idx="3">
                  <c:v>184</c:v>
                </c:pt>
                <c:pt idx="4">
                  <c:v>212</c:v>
                </c:pt>
                <c:pt idx="5">
                  <c:v>242</c:v>
                </c:pt>
                <c:pt idx="6">
                  <c:v>270</c:v>
                </c:pt>
                <c:pt idx="7">
                  <c:v>297</c:v>
                </c:pt>
                <c:pt idx="8">
                  <c:v>312</c:v>
                </c:pt>
                <c:pt idx="9">
                  <c:v>350</c:v>
                </c:pt>
                <c:pt idx="10">
                  <c:v>385</c:v>
                </c:pt>
                <c:pt idx="11">
                  <c:v>425</c:v>
                </c:pt>
                <c:pt idx="12">
                  <c:v>430</c:v>
                </c:pt>
                <c:pt idx="13">
                  <c:v>458</c:v>
                </c:pt>
                <c:pt idx="14">
                  <c:v>476</c:v>
                </c:pt>
                <c:pt idx="15">
                  <c:v>489</c:v>
                </c:pt>
                <c:pt idx="16">
                  <c:v>514</c:v>
                </c:pt>
                <c:pt idx="17">
                  <c:v>534</c:v>
                </c:pt>
                <c:pt idx="18">
                  <c:v>557</c:v>
                </c:pt>
                <c:pt idx="19">
                  <c:v>562</c:v>
                </c:pt>
                <c:pt idx="20">
                  <c:v>590</c:v>
                </c:pt>
                <c:pt idx="21">
                  <c:v>608</c:v>
                </c:pt>
                <c:pt idx="22">
                  <c:v>608</c:v>
                </c:pt>
                <c:pt idx="23">
                  <c:v>633</c:v>
                </c:pt>
                <c:pt idx="24">
                  <c:v>656</c:v>
                </c:pt>
                <c:pt idx="25">
                  <c:v>674</c:v>
                </c:pt>
                <c:pt idx="26">
                  <c:v>687</c:v>
                </c:pt>
                <c:pt idx="27">
                  <c:v>712</c:v>
                </c:pt>
                <c:pt idx="28">
                  <c:v>715</c:v>
                </c:pt>
                <c:pt idx="29">
                  <c:v>720</c:v>
                </c:pt>
                <c:pt idx="30">
                  <c:v>766</c:v>
                </c:pt>
                <c:pt idx="31">
                  <c:v>784</c:v>
                </c:pt>
                <c:pt idx="32">
                  <c:v>787</c:v>
                </c:pt>
                <c:pt idx="33">
                  <c:v>790</c:v>
                </c:pt>
                <c:pt idx="34">
                  <c:v>830</c:v>
                </c:pt>
                <c:pt idx="35">
                  <c:v>833</c:v>
                </c:pt>
                <c:pt idx="36">
                  <c:v>836</c:v>
                </c:pt>
                <c:pt idx="37">
                  <c:v>879</c:v>
                </c:pt>
                <c:pt idx="38">
                  <c:v>912</c:v>
                </c:pt>
                <c:pt idx="39">
                  <c:v>920</c:v>
                </c:pt>
                <c:pt idx="40">
                  <c:v>926</c:v>
                </c:pt>
                <c:pt idx="41">
                  <c:v>956</c:v>
                </c:pt>
                <c:pt idx="42">
                  <c:v>969</c:v>
                </c:pt>
                <c:pt idx="43">
                  <c:v>979</c:v>
                </c:pt>
                <c:pt idx="44">
                  <c:v>1007</c:v>
                </c:pt>
                <c:pt idx="45">
                  <c:v>1025</c:v>
                </c:pt>
                <c:pt idx="46">
                  <c:v>1025</c:v>
                </c:pt>
                <c:pt idx="47">
                  <c:v>1033</c:v>
                </c:pt>
                <c:pt idx="48">
                  <c:v>1063</c:v>
                </c:pt>
                <c:pt idx="49">
                  <c:v>1076</c:v>
                </c:pt>
                <c:pt idx="50">
                  <c:v>1089</c:v>
                </c:pt>
                <c:pt idx="51">
                  <c:v>1107</c:v>
                </c:pt>
                <c:pt idx="52">
                  <c:v>1120</c:v>
                </c:pt>
                <c:pt idx="53">
                  <c:v>1138</c:v>
                </c:pt>
                <c:pt idx="54">
                  <c:v>1141</c:v>
                </c:pt>
                <c:pt idx="55">
                  <c:v>1173</c:v>
                </c:pt>
                <c:pt idx="56">
                  <c:v>1176</c:v>
                </c:pt>
                <c:pt idx="57">
                  <c:v>1189</c:v>
                </c:pt>
                <c:pt idx="58">
                  <c:v>1207</c:v>
                </c:pt>
                <c:pt idx="59">
                  <c:v>1230</c:v>
                </c:pt>
                <c:pt idx="60">
                  <c:v>1251</c:v>
                </c:pt>
                <c:pt idx="61">
                  <c:v>1254</c:v>
                </c:pt>
                <c:pt idx="62">
                  <c:v>1282</c:v>
                </c:pt>
                <c:pt idx="63">
                  <c:v>1290</c:v>
                </c:pt>
                <c:pt idx="64">
                  <c:v>1295</c:v>
                </c:pt>
                <c:pt idx="65">
                  <c:v>1333</c:v>
                </c:pt>
                <c:pt idx="66">
                  <c:v>1336</c:v>
                </c:pt>
                <c:pt idx="67">
                  <c:v>1349</c:v>
                </c:pt>
                <c:pt idx="68">
                  <c:v>1367</c:v>
                </c:pt>
                <c:pt idx="69">
                  <c:v>1398</c:v>
                </c:pt>
                <c:pt idx="70">
                  <c:v>1403</c:v>
                </c:pt>
                <c:pt idx="71">
                  <c:v>1413</c:v>
                </c:pt>
                <c:pt idx="72">
                  <c:v>1451</c:v>
                </c:pt>
                <c:pt idx="73">
                  <c:v>1459</c:v>
                </c:pt>
                <c:pt idx="74">
                  <c:v>1462</c:v>
                </c:pt>
                <c:pt idx="75">
                  <c:v>1480</c:v>
                </c:pt>
                <c:pt idx="76">
                  <c:v>1511</c:v>
                </c:pt>
                <c:pt idx="77">
                  <c:v>1516</c:v>
                </c:pt>
                <c:pt idx="78">
                  <c:v>1519</c:v>
                </c:pt>
                <c:pt idx="79">
                  <c:v>1524</c:v>
                </c:pt>
                <c:pt idx="80">
                  <c:v>1544</c:v>
                </c:pt>
                <c:pt idx="81">
                  <c:v>1567</c:v>
                </c:pt>
                <c:pt idx="82">
                  <c:v>1575</c:v>
                </c:pt>
                <c:pt idx="83">
                  <c:v>1618</c:v>
                </c:pt>
                <c:pt idx="84">
                  <c:v>1621</c:v>
                </c:pt>
                <c:pt idx="85">
                  <c:v>1626</c:v>
                </c:pt>
                <c:pt idx="86">
                  <c:v>1651</c:v>
                </c:pt>
                <c:pt idx="87">
                  <c:v>1671</c:v>
                </c:pt>
                <c:pt idx="88">
                  <c:v>1674</c:v>
                </c:pt>
                <c:pt idx="89">
                  <c:v>1677</c:v>
                </c:pt>
              </c:numCache>
            </c:numRef>
          </c:val>
        </c:ser>
        <c:ser>
          <c:idx val="3"/>
          <c:order val="3"/>
          <c:tx>
            <c:v>Keen, optional ads</c:v>
          </c:tx>
          <c:marker>
            <c:symbol val="none"/>
          </c:marker>
          <c:cat>
            <c:numRef>
              <c:f>'90 Day Ledger'!$B$272:$B$361</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cat>
          <c:val>
            <c:numRef>
              <c:f>'90 Day Ledger'!$G$272:$G$361</c:f>
              <c:numCache>
                <c:formatCode>General</c:formatCode>
                <c:ptCount val="90"/>
                <c:pt idx="0">
                  <c:v>101</c:v>
                </c:pt>
                <c:pt idx="1">
                  <c:v>184</c:v>
                </c:pt>
                <c:pt idx="2">
                  <c:v>227</c:v>
                </c:pt>
                <c:pt idx="3">
                  <c:v>273</c:v>
                </c:pt>
                <c:pt idx="4">
                  <c:v>312</c:v>
                </c:pt>
                <c:pt idx="5">
                  <c:v>375</c:v>
                </c:pt>
                <c:pt idx="6">
                  <c:v>434</c:v>
                </c:pt>
                <c:pt idx="7">
                  <c:v>460</c:v>
                </c:pt>
                <c:pt idx="8">
                  <c:v>488</c:v>
                </c:pt>
                <c:pt idx="9">
                  <c:v>547</c:v>
                </c:pt>
                <c:pt idx="10">
                  <c:v>563</c:v>
                </c:pt>
                <c:pt idx="11">
                  <c:v>576</c:v>
                </c:pt>
                <c:pt idx="12">
                  <c:v>584</c:v>
                </c:pt>
                <c:pt idx="13">
                  <c:v>645</c:v>
                </c:pt>
                <c:pt idx="14">
                  <c:v>669</c:v>
                </c:pt>
                <c:pt idx="15">
                  <c:v>710</c:v>
                </c:pt>
                <c:pt idx="16">
                  <c:v>739</c:v>
                </c:pt>
                <c:pt idx="17">
                  <c:v>750</c:v>
                </c:pt>
                <c:pt idx="18">
                  <c:v>768</c:v>
                </c:pt>
                <c:pt idx="19">
                  <c:v>812</c:v>
                </c:pt>
                <c:pt idx="20">
                  <c:v>850</c:v>
                </c:pt>
                <c:pt idx="21">
                  <c:v>866</c:v>
                </c:pt>
                <c:pt idx="22">
                  <c:v>917</c:v>
                </c:pt>
                <c:pt idx="23">
                  <c:v>938</c:v>
                </c:pt>
                <c:pt idx="24">
                  <c:v>954</c:v>
                </c:pt>
                <c:pt idx="25">
                  <c:v>960</c:v>
                </c:pt>
                <c:pt idx="26">
                  <c:v>989</c:v>
                </c:pt>
                <c:pt idx="27">
                  <c:v>1019</c:v>
                </c:pt>
                <c:pt idx="28">
                  <c:v>1038</c:v>
                </c:pt>
                <c:pt idx="29">
                  <c:v>1089</c:v>
                </c:pt>
                <c:pt idx="30">
                  <c:v>1105</c:v>
                </c:pt>
                <c:pt idx="31">
                  <c:v>1123</c:v>
                </c:pt>
                <c:pt idx="32">
                  <c:v>1147</c:v>
                </c:pt>
                <c:pt idx="33">
                  <c:v>1158</c:v>
                </c:pt>
                <c:pt idx="34">
                  <c:v>1202</c:v>
                </c:pt>
                <c:pt idx="35">
                  <c:v>1230</c:v>
                </c:pt>
                <c:pt idx="36">
                  <c:v>1264</c:v>
                </c:pt>
                <c:pt idx="37">
                  <c:v>1280</c:v>
                </c:pt>
                <c:pt idx="38">
                  <c:v>1296</c:v>
                </c:pt>
                <c:pt idx="39">
                  <c:v>1319</c:v>
                </c:pt>
                <c:pt idx="40">
                  <c:v>1328</c:v>
                </c:pt>
                <c:pt idx="41">
                  <c:v>1359</c:v>
                </c:pt>
                <c:pt idx="42">
                  <c:v>1385</c:v>
                </c:pt>
                <c:pt idx="43">
                  <c:v>1398</c:v>
                </c:pt>
                <c:pt idx="44">
                  <c:v>1414</c:v>
                </c:pt>
                <c:pt idx="45">
                  <c:v>1420</c:v>
                </c:pt>
                <c:pt idx="46">
                  <c:v>1423</c:v>
                </c:pt>
                <c:pt idx="47">
                  <c:v>1429</c:v>
                </c:pt>
                <c:pt idx="48">
                  <c:v>1460</c:v>
                </c:pt>
                <c:pt idx="49">
                  <c:v>1466</c:v>
                </c:pt>
                <c:pt idx="50">
                  <c:v>1494</c:v>
                </c:pt>
                <c:pt idx="51">
                  <c:v>1505</c:v>
                </c:pt>
                <c:pt idx="52">
                  <c:v>1521</c:v>
                </c:pt>
                <c:pt idx="53">
                  <c:v>1527</c:v>
                </c:pt>
                <c:pt idx="54">
                  <c:v>1536</c:v>
                </c:pt>
                <c:pt idx="55">
                  <c:v>1569</c:v>
                </c:pt>
                <c:pt idx="56">
                  <c:v>1575</c:v>
                </c:pt>
                <c:pt idx="57">
                  <c:v>1604</c:v>
                </c:pt>
                <c:pt idx="58">
                  <c:v>1628</c:v>
                </c:pt>
                <c:pt idx="59">
                  <c:v>1634</c:v>
                </c:pt>
                <c:pt idx="60">
                  <c:v>1643</c:v>
                </c:pt>
                <c:pt idx="61">
                  <c:v>1651</c:v>
                </c:pt>
                <c:pt idx="62">
                  <c:v>1685</c:v>
                </c:pt>
                <c:pt idx="63">
                  <c:v>1714</c:v>
                </c:pt>
                <c:pt idx="64">
                  <c:v>1730</c:v>
                </c:pt>
                <c:pt idx="65">
                  <c:v>1741</c:v>
                </c:pt>
                <c:pt idx="66">
                  <c:v>1747</c:v>
                </c:pt>
                <c:pt idx="67">
                  <c:v>1753</c:v>
                </c:pt>
                <c:pt idx="68">
                  <c:v>1764</c:v>
                </c:pt>
                <c:pt idx="69">
                  <c:v>1798</c:v>
                </c:pt>
                <c:pt idx="70">
                  <c:v>1824</c:v>
                </c:pt>
                <c:pt idx="71">
                  <c:v>1840</c:v>
                </c:pt>
                <c:pt idx="72">
                  <c:v>1851</c:v>
                </c:pt>
                <c:pt idx="73">
                  <c:v>1860</c:v>
                </c:pt>
                <c:pt idx="74">
                  <c:v>1866</c:v>
                </c:pt>
                <c:pt idx="75">
                  <c:v>1877</c:v>
                </c:pt>
                <c:pt idx="76">
                  <c:v>1911</c:v>
                </c:pt>
                <c:pt idx="77">
                  <c:v>1917</c:v>
                </c:pt>
                <c:pt idx="78">
                  <c:v>1923</c:v>
                </c:pt>
                <c:pt idx="79">
                  <c:v>1951</c:v>
                </c:pt>
                <c:pt idx="80">
                  <c:v>1967</c:v>
                </c:pt>
                <c:pt idx="81">
                  <c:v>1973</c:v>
                </c:pt>
                <c:pt idx="82">
                  <c:v>1984</c:v>
                </c:pt>
                <c:pt idx="83">
                  <c:v>2018</c:v>
                </c:pt>
                <c:pt idx="84">
                  <c:v>2034</c:v>
                </c:pt>
                <c:pt idx="85">
                  <c:v>2050</c:v>
                </c:pt>
                <c:pt idx="86">
                  <c:v>2074</c:v>
                </c:pt>
                <c:pt idx="87">
                  <c:v>2080</c:v>
                </c:pt>
                <c:pt idx="88">
                  <c:v>2086</c:v>
                </c:pt>
                <c:pt idx="89">
                  <c:v>2095</c:v>
                </c:pt>
              </c:numCache>
            </c:numRef>
          </c:val>
        </c:ser>
        <c:ser>
          <c:idx val="4"/>
          <c:order val="4"/>
          <c:tx>
            <c:v>Regular + paid Coin Doubler</c:v>
          </c:tx>
          <c:marker>
            <c:symbol val="none"/>
          </c:marker>
          <c:cat>
            <c:numRef>
              <c:f>'90 Day Ledger'!$B$362:$B$451</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cat>
          <c:val>
            <c:numRef>
              <c:f>'90 Day Ledger'!$G$362:$G$451</c:f>
              <c:numCache>
                <c:formatCode>General</c:formatCode>
                <c:ptCount val="90"/>
                <c:pt idx="0">
                  <c:v>82</c:v>
                </c:pt>
                <c:pt idx="1">
                  <c:v>99</c:v>
                </c:pt>
                <c:pt idx="2">
                  <c:v>139</c:v>
                </c:pt>
                <c:pt idx="3">
                  <c:v>184</c:v>
                </c:pt>
                <c:pt idx="4">
                  <c:v>212</c:v>
                </c:pt>
                <c:pt idx="5">
                  <c:v>242</c:v>
                </c:pt>
                <c:pt idx="6">
                  <c:v>270</c:v>
                </c:pt>
                <c:pt idx="7">
                  <c:v>297</c:v>
                </c:pt>
                <c:pt idx="8">
                  <c:v>312</c:v>
                </c:pt>
                <c:pt idx="9">
                  <c:v>350</c:v>
                </c:pt>
                <c:pt idx="10">
                  <c:v>385</c:v>
                </c:pt>
                <c:pt idx="11">
                  <c:v>425</c:v>
                </c:pt>
                <c:pt idx="12">
                  <c:v>430</c:v>
                </c:pt>
                <c:pt idx="13">
                  <c:v>458</c:v>
                </c:pt>
                <c:pt idx="14">
                  <c:v>476</c:v>
                </c:pt>
                <c:pt idx="15">
                  <c:v>489</c:v>
                </c:pt>
                <c:pt idx="16">
                  <c:v>514</c:v>
                </c:pt>
                <c:pt idx="17">
                  <c:v>534</c:v>
                </c:pt>
                <c:pt idx="18">
                  <c:v>557</c:v>
                </c:pt>
                <c:pt idx="19">
                  <c:v>562</c:v>
                </c:pt>
                <c:pt idx="20">
                  <c:v>590</c:v>
                </c:pt>
                <c:pt idx="21">
                  <c:v>608</c:v>
                </c:pt>
                <c:pt idx="22">
                  <c:v>608</c:v>
                </c:pt>
                <c:pt idx="23">
                  <c:v>633</c:v>
                </c:pt>
                <c:pt idx="24">
                  <c:v>656</c:v>
                </c:pt>
                <c:pt idx="25">
                  <c:v>674</c:v>
                </c:pt>
                <c:pt idx="26">
                  <c:v>687</c:v>
                </c:pt>
                <c:pt idx="27">
                  <c:v>712</c:v>
                </c:pt>
                <c:pt idx="28">
                  <c:v>715</c:v>
                </c:pt>
                <c:pt idx="29">
                  <c:v>720</c:v>
                </c:pt>
                <c:pt idx="30">
                  <c:v>766</c:v>
                </c:pt>
                <c:pt idx="31">
                  <c:v>784</c:v>
                </c:pt>
                <c:pt idx="32">
                  <c:v>787</c:v>
                </c:pt>
                <c:pt idx="33">
                  <c:v>790</c:v>
                </c:pt>
                <c:pt idx="34">
                  <c:v>830</c:v>
                </c:pt>
                <c:pt idx="35">
                  <c:v>833</c:v>
                </c:pt>
                <c:pt idx="36">
                  <c:v>836</c:v>
                </c:pt>
                <c:pt idx="37">
                  <c:v>879</c:v>
                </c:pt>
                <c:pt idx="38">
                  <c:v>912</c:v>
                </c:pt>
                <c:pt idx="39">
                  <c:v>920</c:v>
                </c:pt>
                <c:pt idx="40">
                  <c:v>926</c:v>
                </c:pt>
                <c:pt idx="41">
                  <c:v>956</c:v>
                </c:pt>
                <c:pt idx="42">
                  <c:v>969</c:v>
                </c:pt>
                <c:pt idx="43">
                  <c:v>979</c:v>
                </c:pt>
                <c:pt idx="44">
                  <c:v>1007</c:v>
                </c:pt>
                <c:pt idx="45">
                  <c:v>1025</c:v>
                </c:pt>
                <c:pt idx="46">
                  <c:v>1025</c:v>
                </c:pt>
                <c:pt idx="47">
                  <c:v>1033</c:v>
                </c:pt>
                <c:pt idx="48">
                  <c:v>1063</c:v>
                </c:pt>
                <c:pt idx="49">
                  <c:v>1076</c:v>
                </c:pt>
                <c:pt idx="50">
                  <c:v>1089</c:v>
                </c:pt>
                <c:pt idx="51">
                  <c:v>1107</c:v>
                </c:pt>
                <c:pt idx="52">
                  <c:v>1120</c:v>
                </c:pt>
                <c:pt idx="53">
                  <c:v>1138</c:v>
                </c:pt>
                <c:pt idx="54">
                  <c:v>1141</c:v>
                </c:pt>
                <c:pt idx="55">
                  <c:v>1173</c:v>
                </c:pt>
                <c:pt idx="56">
                  <c:v>1176</c:v>
                </c:pt>
                <c:pt idx="57">
                  <c:v>1189</c:v>
                </c:pt>
                <c:pt idx="58">
                  <c:v>1207</c:v>
                </c:pt>
                <c:pt idx="59">
                  <c:v>1230</c:v>
                </c:pt>
                <c:pt idx="60">
                  <c:v>1251</c:v>
                </c:pt>
                <c:pt idx="61">
                  <c:v>1254</c:v>
                </c:pt>
                <c:pt idx="62">
                  <c:v>1282</c:v>
                </c:pt>
                <c:pt idx="63">
                  <c:v>1290</c:v>
                </c:pt>
                <c:pt idx="64">
                  <c:v>1295</c:v>
                </c:pt>
                <c:pt idx="65">
                  <c:v>1333</c:v>
                </c:pt>
                <c:pt idx="66">
                  <c:v>1336</c:v>
                </c:pt>
                <c:pt idx="67">
                  <c:v>1349</c:v>
                </c:pt>
                <c:pt idx="68">
                  <c:v>1367</c:v>
                </c:pt>
                <c:pt idx="69">
                  <c:v>1398</c:v>
                </c:pt>
                <c:pt idx="70">
                  <c:v>1403</c:v>
                </c:pt>
                <c:pt idx="71">
                  <c:v>1413</c:v>
                </c:pt>
                <c:pt idx="72">
                  <c:v>1451</c:v>
                </c:pt>
                <c:pt idx="73">
                  <c:v>1459</c:v>
                </c:pt>
                <c:pt idx="74">
                  <c:v>1462</c:v>
                </c:pt>
                <c:pt idx="75">
                  <c:v>1480</c:v>
                </c:pt>
                <c:pt idx="76">
                  <c:v>1511</c:v>
                </c:pt>
                <c:pt idx="77">
                  <c:v>1516</c:v>
                </c:pt>
                <c:pt idx="78">
                  <c:v>1519</c:v>
                </c:pt>
                <c:pt idx="79">
                  <c:v>1524</c:v>
                </c:pt>
                <c:pt idx="80">
                  <c:v>1544</c:v>
                </c:pt>
                <c:pt idx="81">
                  <c:v>1567</c:v>
                </c:pt>
                <c:pt idx="82">
                  <c:v>1575</c:v>
                </c:pt>
                <c:pt idx="83">
                  <c:v>1618</c:v>
                </c:pt>
                <c:pt idx="84">
                  <c:v>1621</c:v>
                </c:pt>
                <c:pt idx="85">
                  <c:v>1626</c:v>
                </c:pt>
                <c:pt idx="86">
                  <c:v>1651</c:v>
                </c:pt>
                <c:pt idx="87">
                  <c:v>1671</c:v>
                </c:pt>
                <c:pt idx="88">
                  <c:v>1674</c:v>
                </c:pt>
                <c:pt idx="89">
                  <c:v>1677</c:v>
                </c:pt>
              </c:numCache>
            </c:numRef>
          </c:val>
        </c:ser>
        <c:marker val="1"/>
        <c:axId val="50010001"/>
        <c:axId val="50010002"/>
      </c:lineChart>
      <c:catAx>
        <c:axId val="50010001"/>
        <c:scaling>
          <c:orientation val="minMax"/>
        </c:scaling>
        <c:axPos val="b"/>
        <c:title>
          <c:tx>
            <c:rich>
              <a:bodyPr/>
              <a:lstStyle/>
              <a:p>
                <a:pPr>
                  <a:defRPr/>
                </a:pPr>
                <a:r>
                  <a:rPr lang="en-US"/>
                  <a:t>Calendar day</a:t>
                </a:r>
              </a:p>
            </c:rich>
          </c:tx>
          <c:layout/>
        </c:title>
        <c:numFmt formatCode="General" sourceLinked="1"/>
        <c:tickLblPos val="nextTo"/>
        <c:crossAx val="50010002"/>
        <c:crosses val="autoZero"/>
        <c:auto val="1"/>
        <c:lblAlgn val="ctr"/>
        <c:lblOffset val="100"/>
      </c:catAx>
      <c:valAx>
        <c:axId val="50010002"/>
        <c:scaling>
          <c:orientation val="minMax"/>
          <c:min val="0"/>
        </c:scaling>
        <c:axPos val="l"/>
        <c:majorGridlines/>
        <c:title>
          <c:tx>
            <c:rich>
              <a:bodyPr rot="-5400000" vert="horz"/>
              <a:lstStyle/>
              <a:p>
                <a:pPr>
                  <a:defRPr/>
                </a:pPr>
                <a:r>
                  <a:rPr lang="en-US"/>
                  <a:t>Gems</a:t>
                </a:r>
              </a:p>
            </c:rich>
          </c:tx>
          <c:layout/>
        </c:title>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Coins in the wallet after the club's spending</a:t>
            </a:r>
          </a:p>
        </c:rich>
      </c:tx>
      <c:layout/>
    </c:title>
    <c:plotArea>
      <c:layout/>
      <c:lineChart>
        <c:grouping val="standard"/>
        <c:ser>
          <c:idx val="0"/>
          <c:order val="0"/>
          <c:tx>
            <c:v>Career learning, 45/25/30, no ads</c:v>
          </c:tx>
          <c:marker>
            <c:symbol val="none"/>
          </c:marker>
          <c:cat>
            <c:numRef>
              <c:f>'Career Tables'!$C$400:$C$436</c:f>
              <c:numCache>
                <c:formatCode>General</c:formatCode>
                <c:ptCount val="37"/>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numCache>
            </c:numRef>
          </c:cat>
          <c:val>
            <c:numRef>
              <c:f>'Career Tables'!$D$400:$D$436</c:f>
              <c:numCache>
                <c:formatCode>General</c:formatCode>
                <c:ptCount val="37"/>
                <c:pt idx="0">
                  <c:v>464</c:v>
                </c:pt>
                <c:pt idx="1">
                  <c:v>265</c:v>
                </c:pt>
                <c:pt idx="2">
                  <c:v>1520</c:v>
                </c:pt>
                <c:pt idx="3">
                  <c:v>726</c:v>
                </c:pt>
                <c:pt idx="4">
                  <c:v>1808</c:v>
                </c:pt>
                <c:pt idx="5">
                  <c:v>975</c:v>
                </c:pt>
                <c:pt idx="6">
                  <c:v>726</c:v>
                </c:pt>
                <c:pt idx="7">
                  <c:v>1308</c:v>
                </c:pt>
                <c:pt idx="8">
                  <c:v>946</c:v>
                </c:pt>
                <c:pt idx="9">
                  <c:v>9358</c:v>
                </c:pt>
                <c:pt idx="10">
                  <c:v>4854</c:v>
                </c:pt>
                <c:pt idx="11">
                  <c:v>7535</c:v>
                </c:pt>
                <c:pt idx="12">
                  <c:v>12957</c:v>
                </c:pt>
                <c:pt idx="13">
                  <c:v>18054</c:v>
                </c:pt>
                <c:pt idx="14">
                  <c:v>25593</c:v>
                </c:pt>
                <c:pt idx="15">
                  <c:v>31385</c:v>
                </c:pt>
                <c:pt idx="16">
                  <c:v>35500</c:v>
                </c:pt>
                <c:pt idx="17">
                  <c:v>39187</c:v>
                </c:pt>
                <c:pt idx="18">
                  <c:v>43759</c:v>
                </c:pt>
                <c:pt idx="19">
                  <c:v>48893</c:v>
                </c:pt>
                <c:pt idx="20">
                  <c:v>55637</c:v>
                </c:pt>
                <c:pt idx="21">
                  <c:v>62993</c:v>
                </c:pt>
                <c:pt idx="22">
                  <c:v>70612</c:v>
                </c:pt>
                <c:pt idx="23">
                  <c:v>76936</c:v>
                </c:pt>
                <c:pt idx="24">
                  <c:v>84756</c:v>
                </c:pt>
                <c:pt idx="25">
                  <c:v>89591</c:v>
                </c:pt>
                <c:pt idx="26">
                  <c:v>95484</c:v>
                </c:pt>
                <c:pt idx="27">
                  <c:v>104362</c:v>
                </c:pt>
                <c:pt idx="28">
                  <c:v>110976</c:v>
                </c:pt>
                <c:pt idx="29">
                  <c:v>121567</c:v>
                </c:pt>
                <c:pt idx="30">
                  <c:v>130740</c:v>
                </c:pt>
                <c:pt idx="31">
                  <c:v>137618</c:v>
                </c:pt>
                <c:pt idx="32">
                  <c:v>145329</c:v>
                </c:pt>
                <c:pt idx="33">
                  <c:v>152723</c:v>
                </c:pt>
                <c:pt idx="34">
                  <c:v>155650</c:v>
                </c:pt>
                <c:pt idx="35">
                  <c:v>159516</c:v>
                </c:pt>
                <c:pt idx="36">
                  <c:v>163119</c:v>
                </c:pt>
              </c:numCache>
            </c:numRef>
          </c:val>
        </c:ser>
        <c:ser>
          <c:idx val="1"/>
          <c:order val="1"/>
          <c:tx>
            <c:v>Career regular, 60/20/20, no ads</c:v>
          </c:tx>
          <c:marker>
            <c:symbol val="none"/>
          </c:marker>
          <c:cat>
            <c:numRef>
              <c:f>'Career Tables'!$C$437:$C$473</c:f>
              <c:numCache>
                <c:formatCode>General</c:formatCode>
                <c:ptCount val="37"/>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numCache>
            </c:numRef>
          </c:cat>
          <c:val>
            <c:numRef>
              <c:f>'Career Tables'!$D$437:$D$473</c:f>
              <c:numCache>
                <c:formatCode>General</c:formatCode>
                <c:ptCount val="37"/>
                <c:pt idx="0">
                  <c:v>241</c:v>
                </c:pt>
                <c:pt idx="1">
                  <c:v>2349</c:v>
                </c:pt>
                <c:pt idx="2">
                  <c:v>3516</c:v>
                </c:pt>
                <c:pt idx="3">
                  <c:v>5713</c:v>
                </c:pt>
                <c:pt idx="4">
                  <c:v>17894</c:v>
                </c:pt>
                <c:pt idx="5">
                  <c:v>37646</c:v>
                </c:pt>
                <c:pt idx="6">
                  <c:v>62884</c:v>
                </c:pt>
                <c:pt idx="7">
                  <c:v>86878</c:v>
                </c:pt>
                <c:pt idx="8">
                  <c:v>107958</c:v>
                </c:pt>
                <c:pt idx="9">
                  <c:v>133707</c:v>
                </c:pt>
                <c:pt idx="10">
                  <c:v>154169</c:v>
                </c:pt>
                <c:pt idx="11">
                  <c:v>181315</c:v>
                </c:pt>
                <c:pt idx="12">
                  <c:v>200663</c:v>
                </c:pt>
                <c:pt idx="13">
                  <c:v>224574</c:v>
                </c:pt>
                <c:pt idx="14">
                  <c:v>265446</c:v>
                </c:pt>
                <c:pt idx="15">
                  <c:v>290929</c:v>
                </c:pt>
                <c:pt idx="16">
                  <c:v>302224</c:v>
                </c:pt>
                <c:pt idx="17">
                  <c:v>319450</c:v>
                </c:pt>
                <c:pt idx="18">
                  <c:v>331931</c:v>
                </c:pt>
                <c:pt idx="19">
                  <c:v>347744</c:v>
                </c:pt>
                <c:pt idx="20">
                  <c:v>361950</c:v>
                </c:pt>
                <c:pt idx="21">
                  <c:v>376064</c:v>
                </c:pt>
                <c:pt idx="22">
                  <c:v>399278</c:v>
                </c:pt>
                <c:pt idx="23">
                  <c:v>423655</c:v>
                </c:pt>
                <c:pt idx="24">
                  <c:v>439796</c:v>
                </c:pt>
                <c:pt idx="25">
                  <c:v>457855</c:v>
                </c:pt>
                <c:pt idx="26">
                  <c:v>471899</c:v>
                </c:pt>
                <c:pt idx="27">
                  <c:v>489491</c:v>
                </c:pt>
                <c:pt idx="28">
                  <c:v>512460</c:v>
                </c:pt>
                <c:pt idx="29">
                  <c:v>524593</c:v>
                </c:pt>
                <c:pt idx="30">
                  <c:v>548554</c:v>
                </c:pt>
                <c:pt idx="31">
                  <c:v>564520</c:v>
                </c:pt>
                <c:pt idx="32">
                  <c:v>577776</c:v>
                </c:pt>
                <c:pt idx="33">
                  <c:v>593366</c:v>
                </c:pt>
                <c:pt idx="34">
                  <c:v>606954</c:v>
                </c:pt>
                <c:pt idx="35">
                  <c:v>622415</c:v>
                </c:pt>
                <c:pt idx="36">
                  <c:v>638082</c:v>
                </c:pt>
              </c:numCache>
            </c:numRef>
          </c:val>
        </c:ser>
        <c:ser>
          <c:idx val="2"/>
          <c:order val="2"/>
          <c:tx>
            <c:v>Career strong, 75/15/10, every ad</c:v>
          </c:tx>
          <c:marker>
            <c:symbol val="none"/>
          </c:marker>
          <c:cat>
            <c:numRef>
              <c:f>'Career Tables'!$C$474:$C$510</c:f>
              <c:numCache>
                <c:formatCode>General</c:formatCode>
                <c:ptCount val="37"/>
                <c:pt idx="0">
                  <c:v>1</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numCache>
            </c:numRef>
          </c:cat>
          <c:val>
            <c:numRef>
              <c:f>'Career Tables'!$D$474:$D$510</c:f>
              <c:numCache>
                <c:formatCode>General</c:formatCode>
                <c:ptCount val="37"/>
                <c:pt idx="0">
                  <c:v>1012</c:v>
                </c:pt>
                <c:pt idx="1">
                  <c:v>4136</c:v>
                </c:pt>
                <c:pt idx="2">
                  <c:v>40589</c:v>
                </c:pt>
                <c:pt idx="3">
                  <c:v>81325</c:v>
                </c:pt>
                <c:pt idx="4">
                  <c:v>131708</c:v>
                </c:pt>
                <c:pt idx="5">
                  <c:v>195885</c:v>
                </c:pt>
                <c:pt idx="6">
                  <c:v>267770</c:v>
                </c:pt>
                <c:pt idx="7">
                  <c:v>368359</c:v>
                </c:pt>
                <c:pt idx="8">
                  <c:v>451601</c:v>
                </c:pt>
                <c:pt idx="9">
                  <c:v>510042</c:v>
                </c:pt>
                <c:pt idx="10">
                  <c:v>575549</c:v>
                </c:pt>
                <c:pt idx="11">
                  <c:v>650673</c:v>
                </c:pt>
                <c:pt idx="12">
                  <c:v>721056</c:v>
                </c:pt>
                <c:pt idx="13">
                  <c:v>802094</c:v>
                </c:pt>
                <c:pt idx="14">
                  <c:v>868275</c:v>
                </c:pt>
                <c:pt idx="15">
                  <c:v>934132</c:v>
                </c:pt>
                <c:pt idx="16">
                  <c:v>1000391</c:v>
                </c:pt>
                <c:pt idx="17">
                  <c:v>1064934</c:v>
                </c:pt>
                <c:pt idx="18">
                  <c:v>1118559</c:v>
                </c:pt>
                <c:pt idx="19">
                  <c:v>1187111</c:v>
                </c:pt>
                <c:pt idx="20">
                  <c:v>1244963</c:v>
                </c:pt>
                <c:pt idx="21">
                  <c:v>1308742</c:v>
                </c:pt>
                <c:pt idx="22">
                  <c:v>1388464</c:v>
                </c:pt>
                <c:pt idx="23">
                  <c:v>1466324</c:v>
                </c:pt>
                <c:pt idx="24">
                  <c:v>1538448</c:v>
                </c:pt>
                <c:pt idx="25">
                  <c:v>1609690</c:v>
                </c:pt>
                <c:pt idx="26">
                  <c:v>1688825</c:v>
                </c:pt>
                <c:pt idx="27">
                  <c:v>1762827</c:v>
                </c:pt>
                <c:pt idx="28">
                  <c:v>1840810</c:v>
                </c:pt>
                <c:pt idx="29">
                  <c:v>1889532</c:v>
                </c:pt>
                <c:pt idx="30">
                  <c:v>1953076</c:v>
                </c:pt>
                <c:pt idx="31">
                  <c:v>2014164</c:v>
                </c:pt>
                <c:pt idx="32">
                  <c:v>2086033</c:v>
                </c:pt>
                <c:pt idx="33">
                  <c:v>2150496</c:v>
                </c:pt>
                <c:pt idx="34">
                  <c:v>2214242</c:v>
                </c:pt>
                <c:pt idx="35">
                  <c:v>2273654</c:v>
                </c:pt>
                <c:pt idx="36">
                  <c:v>2352789</c:v>
                </c:pt>
              </c:numCache>
            </c:numRef>
          </c:val>
        </c:ser>
        <c:marker val="1"/>
        <c:axId val="50020001"/>
        <c:axId val="50020002"/>
      </c:lineChart>
      <c:catAx>
        <c:axId val="50020001"/>
        <c:scaling>
          <c:orientation val="minMax"/>
        </c:scaling>
        <c:axPos val="b"/>
        <c:title>
          <c:tx>
            <c:rich>
              <a:bodyPr/>
              <a:lstStyle/>
              <a:p>
                <a:pPr>
                  <a:defRPr/>
                </a:pPr>
                <a:r>
                  <a:rPr lang="en-US"/>
                  <a:t>Day</a:t>
                </a:r>
              </a:p>
            </c:rich>
          </c:tx>
          <c:layout/>
        </c:title>
        <c:numFmt formatCode="General" sourceLinked="1"/>
        <c:tickLblPos val="nextTo"/>
        <c:crossAx val="50020002"/>
        <c:crosses val="autoZero"/>
        <c:auto val="1"/>
        <c:lblAlgn val="ctr"/>
        <c:lblOffset val="100"/>
      </c:catAx>
      <c:valAx>
        <c:axId val="50020002"/>
        <c:scaling>
          <c:orientation val="minMax"/>
          <c:min val="0"/>
        </c:scaling>
        <c:axPos val="l"/>
        <c:majorGridlines/>
        <c:title>
          <c:tx>
            <c:rich>
              <a:bodyPr rot="-5400000" vert="horz"/>
              <a:lstStyle/>
              <a:p>
                <a:pPr>
                  <a:defRPr/>
                </a:pPr>
                <a:r>
                  <a:rPr lang="en-US"/>
                  <a:t>Coins</a:t>
                </a:r>
              </a:p>
            </c:rich>
          </c:tx>
          <c:layout/>
        </c:title>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21</xdr:col>
      <xdr:colOff>209550</xdr:colOff>
      <xdr:row>24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147</xdr:row>
      <xdr:rowOff>0</xdr:rowOff>
    </xdr:from>
    <xdr:to>
      <xdr:col>7</xdr:col>
      <xdr:colOff>38100</xdr:colOff>
      <xdr:row>166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B2:H65"/>
  <sheetViews>
    <sheetView tabSelected="1" workbookViewId="0"/>
  </sheetViews>
  <sheetFormatPr defaultRowHeight="15"/>
  <cols>
    <col min="1" max="1" width="3.7109375" customWidth="1"/>
    <col min="2" max="2" width="35.7109375" customWidth="1"/>
    <col min="3" max="8" width="14.7109375" customWidth="1"/>
  </cols>
  <sheetData>
    <row r="2" spans="2:8">
      <c r="B2" s="1" t="s">
        <v>0</v>
      </c>
      <c r="C2" s="1"/>
      <c r="D2" s="1"/>
      <c r="E2" s="1"/>
      <c r="F2" s="1"/>
      <c r="G2" s="1"/>
      <c r="H2" s="1"/>
    </row>
    <row r="3" spans="2:8">
      <c r="B3" s="1"/>
      <c r="C3" s="1"/>
      <c r="D3" s="1"/>
      <c r="E3" s="1"/>
      <c r="F3" s="1"/>
      <c r="G3" s="1"/>
      <c r="H3" s="1"/>
    </row>
    <row r="5" spans="2:8">
      <c r="B5" s="2" t="s">
        <v>1</v>
      </c>
      <c r="C5" s="2"/>
      <c r="D5" s="2"/>
      <c r="E5" s="2"/>
      <c r="F5" s="2"/>
      <c r="G5" s="2"/>
      <c r="H5" s="2"/>
    </row>
    <row r="6" spans="2:8">
      <c r="B6" s="2"/>
      <c r="C6" s="2"/>
      <c r="D6" s="2"/>
      <c r="E6" s="2"/>
      <c r="F6" s="2"/>
      <c r="G6" s="2"/>
      <c r="H6" s="2"/>
    </row>
    <row r="8" spans="2:8">
      <c r="B8" s="2" t="s">
        <v>2</v>
      </c>
      <c r="C8" s="2"/>
      <c r="D8" s="2"/>
      <c r="E8" s="2"/>
      <c r="F8" s="2"/>
      <c r="G8" s="2"/>
      <c r="H8" s="2"/>
    </row>
    <row r="9" spans="2:8">
      <c r="B9" s="2"/>
      <c r="C9" s="2"/>
      <c r="D9" s="2"/>
      <c r="E9" s="2"/>
      <c r="F9" s="2"/>
      <c r="G9" s="2"/>
      <c r="H9" s="2"/>
    </row>
    <row r="11" spans="2:8">
      <c r="B11" s="2" t="s">
        <v>3</v>
      </c>
      <c r="C11" s="2"/>
      <c r="D11" s="2"/>
      <c r="E11" s="2"/>
      <c r="F11" s="2"/>
      <c r="G11" s="2"/>
      <c r="H11" s="2"/>
    </row>
    <row r="12" spans="2:8">
      <c r="B12" s="2"/>
      <c r="C12" s="2"/>
      <c r="D12" s="2"/>
      <c r="E12" s="2"/>
      <c r="F12" s="2"/>
      <c r="G12" s="2"/>
      <c r="H12" s="2"/>
    </row>
    <row r="15" spans="2:8">
      <c r="B15" s="3" t="s">
        <v>4</v>
      </c>
      <c r="C15" s="3"/>
      <c r="D15" s="3"/>
      <c r="E15" s="3"/>
      <c r="F15" s="3"/>
      <c r="G15" s="3"/>
      <c r="H15" s="3"/>
    </row>
    <row r="16" spans="2:8">
      <c r="B16" s="3"/>
      <c r="C16" s="3"/>
      <c r="D16" s="3"/>
      <c r="E16" s="3"/>
      <c r="F16" s="3"/>
      <c r="G16" s="3"/>
      <c r="H16" s="3"/>
    </row>
    <row r="17" spans="2:8">
      <c r="B17" s="3" t="s">
        <v>5</v>
      </c>
      <c r="C17" s="3"/>
      <c r="D17" s="3"/>
      <c r="E17" s="3"/>
      <c r="F17" s="3"/>
      <c r="G17" s="3"/>
      <c r="H17" s="3"/>
    </row>
    <row r="18" spans="2:8">
      <c r="B18" s="3"/>
      <c r="C18" s="3"/>
      <c r="D18" s="3"/>
      <c r="E18" s="3"/>
      <c r="F18" s="3"/>
      <c r="G18" s="3"/>
      <c r="H18" s="3"/>
    </row>
    <row r="19" spans="2:8">
      <c r="B19" s="3" t="s">
        <v>6</v>
      </c>
      <c r="C19" s="3"/>
      <c r="D19" s="3"/>
      <c r="E19" s="3"/>
      <c r="F19" s="3"/>
      <c r="G19" s="3"/>
      <c r="H19" s="3"/>
    </row>
    <row r="20" spans="2:8">
      <c r="B20" s="3"/>
      <c r="C20" s="3"/>
      <c r="D20" s="3"/>
      <c r="E20" s="3"/>
      <c r="F20" s="3"/>
      <c r="G20" s="3"/>
      <c r="H20" s="3"/>
    </row>
    <row r="21" spans="2:8">
      <c r="B21" s="3" t="s">
        <v>7</v>
      </c>
      <c r="C21" s="3"/>
      <c r="D21" s="3"/>
      <c r="E21" s="3"/>
      <c r="F21" s="3"/>
      <c r="G21" s="3"/>
      <c r="H21" s="3"/>
    </row>
    <row r="22" spans="2:8">
      <c r="B22" s="3"/>
      <c r="C22" s="3"/>
      <c r="D22" s="3"/>
      <c r="E22" s="3"/>
      <c r="F22" s="3"/>
      <c r="G22" s="3"/>
      <c r="H22" s="3"/>
    </row>
    <row r="23" spans="2:8">
      <c r="B23" s="3" t="s">
        <v>8</v>
      </c>
      <c r="C23" s="3"/>
      <c r="D23" s="3"/>
      <c r="E23" s="3"/>
      <c r="F23" s="3"/>
      <c r="G23" s="3"/>
      <c r="H23" s="3"/>
    </row>
    <row r="24" spans="2:8">
      <c r="B24" s="3"/>
      <c r="C24" s="3"/>
      <c r="D24" s="3"/>
      <c r="E24" s="3"/>
      <c r="F24" s="3"/>
      <c r="G24" s="3"/>
      <c r="H24" s="3"/>
    </row>
    <row r="25" spans="2:8">
      <c r="B25" s="3" t="s">
        <v>9</v>
      </c>
      <c r="C25" s="3"/>
      <c r="D25" s="3"/>
      <c r="E25" s="3"/>
      <c r="F25" s="3"/>
      <c r="G25" s="3"/>
      <c r="H25" s="3"/>
    </row>
    <row r="26" spans="2:8">
      <c r="B26" s="3"/>
      <c r="C26" s="3"/>
      <c r="D26" s="3"/>
      <c r="E26" s="3"/>
      <c r="F26" s="3"/>
      <c r="G26" s="3"/>
      <c r="H26" s="3"/>
    </row>
    <row r="27" spans="2:8">
      <c r="B27" s="3" t="s">
        <v>10</v>
      </c>
      <c r="C27" s="3"/>
      <c r="D27" s="3"/>
      <c r="E27" s="3"/>
      <c r="F27" s="3"/>
      <c r="G27" s="3"/>
      <c r="H27" s="3"/>
    </row>
    <row r="28" spans="2:8">
      <c r="B28" s="3"/>
      <c r="C28" s="3"/>
      <c r="D28" s="3"/>
      <c r="E28" s="3"/>
      <c r="F28" s="3"/>
      <c r="G28" s="3"/>
      <c r="H28" s="3"/>
    </row>
    <row r="29" spans="2:8">
      <c r="B29" s="3" t="s">
        <v>11</v>
      </c>
      <c r="C29" s="3"/>
      <c r="D29" s="3"/>
      <c r="E29" s="3"/>
      <c r="F29" s="3"/>
      <c r="G29" s="3"/>
      <c r="H29" s="3"/>
    </row>
    <row r="30" spans="2:8">
      <c r="B30" s="3"/>
      <c r="C30" s="3"/>
      <c r="D30" s="3"/>
      <c r="E30" s="3"/>
      <c r="F30" s="3"/>
      <c r="G30" s="3"/>
      <c r="H30" s="3"/>
    </row>
    <row r="31" spans="2:8">
      <c r="B31" s="3" t="s">
        <v>12</v>
      </c>
      <c r="C31" s="3"/>
      <c r="D31" s="3"/>
      <c r="E31" s="3"/>
      <c r="F31" s="3"/>
      <c r="G31" s="3"/>
      <c r="H31" s="3"/>
    </row>
    <row r="32" spans="2:8">
      <c r="B32" s="3"/>
      <c r="C32" s="3"/>
      <c r="D32" s="3"/>
      <c r="E32" s="3"/>
      <c r="F32" s="3"/>
      <c r="G32" s="3"/>
      <c r="H32" s="3"/>
    </row>
    <row r="33" spans="2:8">
      <c r="B33" s="3" t="s">
        <v>13</v>
      </c>
      <c r="C33" s="3"/>
      <c r="D33" s="3"/>
      <c r="E33" s="3"/>
      <c r="F33" s="3"/>
      <c r="G33" s="3"/>
      <c r="H33" s="3"/>
    </row>
    <row r="34" spans="2:8">
      <c r="B34" s="3"/>
      <c r="C34" s="3"/>
      <c r="D34" s="3"/>
      <c r="E34" s="3"/>
      <c r="F34" s="3"/>
      <c r="G34" s="3"/>
      <c r="H34" s="3"/>
    </row>
    <row r="35" spans="2:8">
      <c r="B35" s="3" t="s">
        <v>14</v>
      </c>
      <c r="C35" s="3"/>
      <c r="D35" s="3"/>
      <c r="E35" s="3"/>
      <c r="F35" s="3"/>
      <c r="G35" s="3"/>
      <c r="H35" s="3"/>
    </row>
    <row r="36" spans="2:8">
      <c r="B36" s="3"/>
      <c r="C36" s="3"/>
      <c r="D36" s="3"/>
      <c r="E36" s="3"/>
      <c r="F36" s="3"/>
      <c r="G36" s="3"/>
      <c r="H36" s="3"/>
    </row>
    <row r="37" spans="2:8">
      <c r="B37" s="3" t="s">
        <v>15</v>
      </c>
      <c r="C37" s="3"/>
      <c r="D37" s="3"/>
      <c r="E37" s="3"/>
      <c r="F37" s="3"/>
      <c r="G37" s="3"/>
      <c r="H37" s="3"/>
    </row>
    <row r="38" spans="2:8">
      <c r="B38" s="3"/>
      <c r="C38" s="3"/>
      <c r="D38" s="3"/>
      <c r="E38" s="3"/>
      <c r="F38" s="3"/>
      <c r="G38" s="3"/>
      <c r="H38" s="3"/>
    </row>
    <row r="39" spans="2:8">
      <c r="B39" s="3" t="s">
        <v>16</v>
      </c>
      <c r="C39" s="3"/>
      <c r="D39" s="3"/>
      <c r="E39" s="3"/>
      <c r="F39" s="3"/>
      <c r="G39" s="3"/>
      <c r="H39" s="3"/>
    </row>
    <row r="40" spans="2:8">
      <c r="B40" s="3"/>
      <c r="C40" s="3"/>
      <c r="D40" s="3"/>
      <c r="E40" s="3"/>
      <c r="F40" s="3"/>
      <c r="G40" s="3"/>
      <c r="H40" s="3"/>
    </row>
    <row r="41" spans="2:8">
      <c r="B41" s="3" t="s">
        <v>17</v>
      </c>
      <c r="C41" s="3"/>
      <c r="D41" s="3"/>
      <c r="E41" s="3"/>
      <c r="F41" s="3"/>
      <c r="G41" s="3"/>
      <c r="H41" s="3"/>
    </row>
    <row r="42" spans="2:8">
      <c r="B42" s="3"/>
      <c r="C42" s="3"/>
      <c r="D42" s="3"/>
      <c r="E42" s="3"/>
      <c r="F42" s="3"/>
      <c r="G42" s="3"/>
      <c r="H42" s="3"/>
    </row>
    <row r="44" spans="2:8">
      <c r="B44" s="2" t="s">
        <v>18</v>
      </c>
      <c r="C44" s="2"/>
      <c r="D44" s="2"/>
      <c r="E44" s="2"/>
      <c r="F44" s="2"/>
      <c r="G44" s="2"/>
      <c r="H44" s="2"/>
    </row>
    <row r="45" spans="2:8">
      <c r="B45" s="2"/>
      <c r="C45" s="2"/>
      <c r="D45" s="2"/>
      <c r="E45" s="2"/>
      <c r="F45" s="2"/>
      <c r="G45" s="2"/>
      <c r="H45" s="2"/>
    </row>
    <row r="46" spans="2:8">
      <c r="B46" s="2"/>
      <c r="C46" s="2"/>
      <c r="D46" s="2"/>
      <c r="E46" s="2"/>
      <c r="F46" s="2"/>
      <c r="G46" s="2"/>
      <c r="H46" s="2"/>
    </row>
    <row r="48" spans="2:8">
      <c r="B48" s="2" t="s">
        <v>19</v>
      </c>
      <c r="C48" s="2"/>
      <c r="D48" s="2"/>
      <c r="E48" s="2"/>
      <c r="F48" s="2"/>
      <c r="G48" s="2"/>
      <c r="H48" s="2"/>
    </row>
    <row r="49" spans="2:8">
      <c r="B49" s="2"/>
      <c r="C49" s="2"/>
      <c r="D49" s="2"/>
      <c r="E49" s="2"/>
      <c r="F49" s="2"/>
      <c r="G49" s="2"/>
      <c r="H49" s="2"/>
    </row>
    <row r="50" spans="2:8">
      <c r="B50" s="2"/>
      <c r="C50" s="2"/>
      <c r="D50" s="2"/>
      <c r="E50" s="2"/>
      <c r="F50" s="2"/>
      <c r="G50" s="2"/>
      <c r="H50" s="2"/>
    </row>
    <row r="52" spans="2:8">
      <c r="B52" s="4" t="s">
        <v>1028</v>
      </c>
      <c r="C52" s="4"/>
      <c r="D52" s="4"/>
      <c r="E52" s="4"/>
      <c r="F52" s="4"/>
      <c r="G52" s="4"/>
      <c r="H52" s="4"/>
    </row>
    <row r="53" spans="2:8">
      <c r="B53" s="2" t="s">
        <v>1029</v>
      </c>
      <c r="C53" s="2"/>
      <c r="D53" s="2"/>
      <c r="E53" s="2"/>
      <c r="F53" s="2"/>
      <c r="G53" s="2"/>
      <c r="H53" s="2"/>
    </row>
    <row r="54" spans="2:8">
      <c r="B54" s="2"/>
      <c r="C54" s="2"/>
      <c r="D54" s="2"/>
      <c r="E54" s="2"/>
      <c r="F54" s="2"/>
      <c r="G54" s="2"/>
      <c r="H54" s="2"/>
    </row>
    <row r="55" spans="2:8">
      <c r="B55" s="2"/>
      <c r="C55" s="2"/>
      <c r="D55" s="2"/>
      <c r="E55" s="2"/>
      <c r="F55" s="2"/>
      <c r="G55" s="2"/>
      <c r="H55" s="2"/>
    </row>
    <row r="56" spans="2:8">
      <c r="B56" s="2"/>
      <c r="C56" s="2"/>
      <c r="D56" s="2"/>
      <c r="E56" s="2"/>
      <c r="F56" s="2"/>
      <c r="G56" s="2"/>
      <c r="H56" s="2"/>
    </row>
    <row r="57" spans="2:8">
      <c r="B57" s="2"/>
      <c r="C57" s="2"/>
      <c r="D57" s="2"/>
      <c r="E57" s="2"/>
      <c r="F57" s="2"/>
      <c r="G57" s="2"/>
      <c r="H57" s="2"/>
    </row>
    <row r="59" spans="2:8">
      <c r="B59" s="2" t="s">
        <v>1030</v>
      </c>
      <c r="C59" s="2"/>
      <c r="D59" s="2"/>
      <c r="E59" s="2"/>
      <c r="F59" s="2"/>
      <c r="G59" s="2"/>
      <c r="H59" s="2"/>
    </row>
    <row r="60" spans="2:8">
      <c r="B60" s="2"/>
      <c r="C60" s="2"/>
      <c r="D60" s="2"/>
      <c r="E60" s="2"/>
      <c r="F60" s="2"/>
      <c r="G60" s="2"/>
      <c r="H60" s="2"/>
    </row>
    <row r="61" spans="2:8">
      <c r="B61" s="2"/>
      <c r="C61" s="2"/>
      <c r="D61" s="2"/>
      <c r="E61" s="2"/>
      <c r="F61" s="2"/>
      <c r="G61" s="2"/>
      <c r="H61" s="2"/>
    </row>
    <row r="62" spans="2:8">
      <c r="B62" s="2"/>
      <c r="C62" s="2"/>
      <c r="D62" s="2"/>
      <c r="E62" s="2"/>
      <c r="F62" s="2"/>
      <c r="G62" s="2"/>
      <c r="H62" s="2"/>
    </row>
    <row r="64" spans="2:8">
      <c r="B64" s="2" t="s">
        <v>1031</v>
      </c>
      <c r="C64" s="2"/>
      <c r="D64" s="2"/>
      <c r="E64" s="2"/>
      <c r="F64" s="2"/>
      <c r="G64" s="2"/>
      <c r="H64" s="2"/>
    </row>
    <row r="65" spans="2:8">
      <c r="B65" s="2"/>
      <c r="C65" s="2"/>
      <c r="D65" s="2"/>
      <c r="E65" s="2"/>
      <c r="F65" s="2"/>
      <c r="G65" s="2"/>
      <c r="H65" s="2"/>
    </row>
  </sheetData>
  <mergeCells count="24">
    <mergeCell ref="B2:H3"/>
    <mergeCell ref="B5:H6"/>
    <mergeCell ref="B8:H9"/>
    <mergeCell ref="B11:H12"/>
    <mergeCell ref="B15:H16"/>
    <mergeCell ref="B17:H18"/>
    <mergeCell ref="B19:H20"/>
    <mergeCell ref="B21:H22"/>
    <mergeCell ref="B23:H24"/>
    <mergeCell ref="B25:H26"/>
    <mergeCell ref="B27:H28"/>
    <mergeCell ref="B29:H30"/>
    <mergeCell ref="B31:H32"/>
    <mergeCell ref="B33:H34"/>
    <mergeCell ref="B35:H36"/>
    <mergeCell ref="B37:H38"/>
    <mergeCell ref="B39:H40"/>
    <mergeCell ref="B41:H42"/>
    <mergeCell ref="B44:H46"/>
    <mergeCell ref="B48:H50"/>
    <mergeCell ref="B52:H52"/>
    <mergeCell ref="B53:H57"/>
    <mergeCell ref="B59:H62"/>
    <mergeCell ref="B64:H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I2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3.7109375" customWidth="1"/>
    <col min="2" max="2" width="10.7109375" customWidth="1"/>
    <col min="3" max="3" width="12.7109375" customWidth="1"/>
    <col min="4" max="6" width="16.7109375" customWidth="1"/>
    <col min="7" max="7" width="18.7109375" customWidth="1"/>
    <col min="8" max="9" width="22.7109375" customWidth="1"/>
  </cols>
  <sheetData>
    <row r="1" spans="1:9" ht="32" customHeight="1">
      <c r="A1" s="5" t="s">
        <v>20</v>
      </c>
      <c r="B1" s="5" t="s">
        <v>21</v>
      </c>
      <c r="C1" s="5" t="s">
        <v>22</v>
      </c>
      <c r="D1" s="5" t="s">
        <v>23</v>
      </c>
      <c r="E1" s="5" t="s">
        <v>24</v>
      </c>
      <c r="F1" s="5" t="s">
        <v>25</v>
      </c>
      <c r="G1" s="5" t="s">
        <v>26</v>
      </c>
      <c r="H1" s="5" t="s">
        <v>27</v>
      </c>
      <c r="I1" s="5" t="s">
        <v>28</v>
      </c>
    </row>
    <row r="2" spans="1:9">
      <c r="A2" t="s">
        <v>29</v>
      </c>
      <c r="B2">
        <v>1</v>
      </c>
      <c r="C2">
        <v>2</v>
      </c>
      <c r="D2">
        <v>12</v>
      </c>
      <c r="E2">
        <v>1362</v>
      </c>
      <c r="F2">
        <v>82</v>
      </c>
      <c r="G2">
        <v>1</v>
      </c>
      <c r="H2">
        <v>1</v>
      </c>
      <c r="I2">
        <v>0</v>
      </c>
    </row>
    <row r="3" spans="1:9">
      <c r="A3" t="s">
        <v>29</v>
      </c>
      <c r="B3">
        <v>7</v>
      </c>
      <c r="C3">
        <v>6</v>
      </c>
      <c r="D3">
        <v>36</v>
      </c>
      <c r="E3">
        <v>3741</v>
      </c>
      <c r="F3">
        <v>114</v>
      </c>
      <c r="G3">
        <v>6</v>
      </c>
      <c r="H3">
        <v>3</v>
      </c>
      <c r="I3">
        <v>0</v>
      </c>
    </row>
    <row r="4" spans="1:9">
      <c r="A4" t="s">
        <v>29</v>
      </c>
      <c r="B4">
        <v>30</v>
      </c>
      <c r="C4">
        <v>26</v>
      </c>
      <c r="D4">
        <v>156</v>
      </c>
      <c r="E4">
        <v>15004</v>
      </c>
      <c r="F4">
        <v>218</v>
      </c>
      <c r="G4">
        <v>18</v>
      </c>
      <c r="H4">
        <v>13</v>
      </c>
      <c r="I4">
        <v>0</v>
      </c>
    </row>
    <row r="5" spans="1:9">
      <c r="A5" t="s">
        <v>29</v>
      </c>
      <c r="B5">
        <v>60</v>
      </c>
      <c r="C5">
        <v>52</v>
      </c>
      <c r="D5">
        <v>312</v>
      </c>
      <c r="E5">
        <v>30754</v>
      </c>
      <c r="F5">
        <v>379</v>
      </c>
      <c r="G5">
        <v>31</v>
      </c>
      <c r="H5">
        <v>26</v>
      </c>
      <c r="I5">
        <v>1</v>
      </c>
    </row>
    <row r="6" spans="1:9">
      <c r="A6" t="s">
        <v>29</v>
      </c>
      <c r="B6">
        <v>90</v>
      </c>
      <c r="C6">
        <v>78</v>
      </c>
      <c r="D6">
        <v>468</v>
      </c>
      <c r="E6">
        <v>48247</v>
      </c>
      <c r="F6">
        <v>527</v>
      </c>
      <c r="G6">
        <v>43</v>
      </c>
      <c r="H6">
        <v>39</v>
      </c>
      <c r="I6">
        <v>2</v>
      </c>
    </row>
    <row r="7" spans="1:9">
      <c r="A7" t="s">
        <v>30</v>
      </c>
      <c r="B7">
        <v>1</v>
      </c>
      <c r="C7">
        <v>2</v>
      </c>
      <c r="D7">
        <v>12</v>
      </c>
      <c r="E7">
        <v>1409</v>
      </c>
      <c r="F7">
        <v>82</v>
      </c>
      <c r="G7">
        <v>1</v>
      </c>
      <c r="H7">
        <v>1</v>
      </c>
      <c r="I7">
        <v>0</v>
      </c>
    </row>
    <row r="8" spans="1:9">
      <c r="A8" t="s">
        <v>30</v>
      </c>
      <c r="B8">
        <v>7</v>
      </c>
      <c r="C8">
        <v>8</v>
      </c>
      <c r="D8">
        <v>48</v>
      </c>
      <c r="E8">
        <v>5385</v>
      </c>
      <c r="F8">
        <v>121</v>
      </c>
      <c r="G8">
        <v>7</v>
      </c>
      <c r="H8">
        <v>4</v>
      </c>
      <c r="I8">
        <v>0</v>
      </c>
    </row>
    <row r="9" spans="1:9">
      <c r="A9" t="s">
        <v>30</v>
      </c>
      <c r="B9">
        <v>30</v>
      </c>
      <c r="C9">
        <v>34</v>
      </c>
      <c r="D9">
        <v>204</v>
      </c>
      <c r="E9">
        <v>29612</v>
      </c>
      <c r="F9">
        <v>409</v>
      </c>
      <c r="G9">
        <v>30</v>
      </c>
      <c r="H9">
        <v>17</v>
      </c>
      <c r="I9">
        <v>1</v>
      </c>
    </row>
    <row r="10" spans="1:9">
      <c r="A10" t="s">
        <v>30</v>
      </c>
      <c r="B10">
        <v>60</v>
      </c>
      <c r="C10">
        <v>68</v>
      </c>
      <c r="D10">
        <v>408</v>
      </c>
      <c r="E10">
        <v>63396</v>
      </c>
      <c r="F10">
        <v>680</v>
      </c>
      <c r="G10">
        <v>59</v>
      </c>
      <c r="H10">
        <v>34</v>
      </c>
      <c r="I10">
        <v>3</v>
      </c>
    </row>
    <row r="11" spans="1:9">
      <c r="A11" t="s">
        <v>30</v>
      </c>
      <c r="B11">
        <v>90</v>
      </c>
      <c r="C11">
        <v>102</v>
      </c>
      <c r="D11">
        <v>612</v>
      </c>
      <c r="E11">
        <v>89948</v>
      </c>
      <c r="F11">
        <v>888</v>
      </c>
      <c r="G11">
        <v>82</v>
      </c>
      <c r="H11">
        <v>51</v>
      </c>
      <c r="I11">
        <v>4</v>
      </c>
    </row>
    <row r="12" spans="1:9">
      <c r="A12" t="s">
        <v>31</v>
      </c>
      <c r="B12">
        <v>1</v>
      </c>
      <c r="C12">
        <v>3</v>
      </c>
      <c r="D12">
        <v>18</v>
      </c>
      <c r="E12">
        <v>1540</v>
      </c>
      <c r="F12">
        <v>82</v>
      </c>
      <c r="G12">
        <v>1</v>
      </c>
      <c r="H12">
        <v>1</v>
      </c>
      <c r="I12">
        <v>0</v>
      </c>
    </row>
    <row r="13" spans="1:9">
      <c r="A13" t="s">
        <v>31</v>
      </c>
      <c r="B13">
        <v>7</v>
      </c>
      <c r="C13">
        <v>21</v>
      </c>
      <c r="D13">
        <v>126</v>
      </c>
      <c r="E13">
        <v>16373</v>
      </c>
      <c r="F13">
        <v>270</v>
      </c>
      <c r="G13">
        <v>15</v>
      </c>
      <c r="H13">
        <v>7</v>
      </c>
      <c r="I13">
        <v>0</v>
      </c>
    </row>
    <row r="14" spans="1:9">
      <c r="A14" t="s">
        <v>31</v>
      </c>
      <c r="B14">
        <v>30</v>
      </c>
      <c r="C14">
        <v>90</v>
      </c>
      <c r="D14">
        <v>540</v>
      </c>
      <c r="E14">
        <v>68181</v>
      </c>
      <c r="F14">
        <v>720</v>
      </c>
      <c r="G14">
        <v>53</v>
      </c>
      <c r="H14">
        <v>30</v>
      </c>
      <c r="I14">
        <v>3</v>
      </c>
    </row>
    <row r="15" spans="1:9">
      <c r="A15" t="s">
        <v>31</v>
      </c>
      <c r="B15">
        <v>60</v>
      </c>
      <c r="C15">
        <v>180</v>
      </c>
      <c r="D15">
        <v>1080</v>
      </c>
      <c r="E15">
        <v>139829</v>
      </c>
      <c r="F15">
        <v>1230</v>
      </c>
      <c r="G15">
        <v>103</v>
      </c>
      <c r="H15">
        <v>60</v>
      </c>
      <c r="I15">
        <v>7</v>
      </c>
    </row>
    <row r="16" spans="1:9">
      <c r="A16" t="s">
        <v>31</v>
      </c>
      <c r="B16">
        <v>90</v>
      </c>
      <c r="C16">
        <v>270</v>
      </c>
      <c r="D16">
        <v>1620</v>
      </c>
      <c r="E16">
        <v>211382</v>
      </c>
      <c r="F16">
        <v>1677</v>
      </c>
      <c r="G16">
        <v>161</v>
      </c>
      <c r="H16">
        <v>90</v>
      </c>
      <c r="I16">
        <v>11</v>
      </c>
    </row>
    <row r="17" spans="1:9">
      <c r="A17" t="s">
        <v>32</v>
      </c>
      <c r="B17">
        <v>1</v>
      </c>
      <c r="C17">
        <v>6</v>
      </c>
      <c r="D17">
        <v>36</v>
      </c>
      <c r="E17">
        <v>3845</v>
      </c>
      <c r="F17">
        <v>101</v>
      </c>
      <c r="G17">
        <v>1</v>
      </c>
      <c r="H17">
        <v>1</v>
      </c>
      <c r="I17">
        <v>0</v>
      </c>
    </row>
    <row r="18" spans="1:9">
      <c r="A18" t="s">
        <v>32</v>
      </c>
      <c r="B18">
        <v>7</v>
      </c>
      <c r="C18">
        <v>42</v>
      </c>
      <c r="D18">
        <v>252</v>
      </c>
      <c r="E18">
        <v>32832</v>
      </c>
      <c r="F18">
        <v>434</v>
      </c>
      <c r="G18">
        <v>20</v>
      </c>
      <c r="H18">
        <v>7</v>
      </c>
      <c r="I18">
        <v>2</v>
      </c>
    </row>
    <row r="19" spans="1:9">
      <c r="A19" t="s">
        <v>32</v>
      </c>
      <c r="B19">
        <v>30</v>
      </c>
      <c r="C19">
        <v>180</v>
      </c>
      <c r="D19">
        <v>1080</v>
      </c>
      <c r="E19">
        <v>147968</v>
      </c>
      <c r="F19">
        <v>1089</v>
      </c>
      <c r="G19">
        <v>76</v>
      </c>
      <c r="H19">
        <v>30</v>
      </c>
      <c r="I19">
        <v>9</v>
      </c>
    </row>
    <row r="20" spans="1:9">
      <c r="A20" t="s">
        <v>32</v>
      </c>
      <c r="B20">
        <v>60</v>
      </c>
      <c r="C20">
        <v>360</v>
      </c>
      <c r="D20">
        <v>2160</v>
      </c>
      <c r="E20">
        <v>265662</v>
      </c>
      <c r="F20">
        <v>1634</v>
      </c>
      <c r="G20">
        <v>144</v>
      </c>
      <c r="H20">
        <v>60</v>
      </c>
      <c r="I20">
        <v>12</v>
      </c>
    </row>
    <row r="21" spans="1:9">
      <c r="A21" t="s">
        <v>32</v>
      </c>
      <c r="B21">
        <v>90</v>
      </c>
      <c r="C21">
        <v>540</v>
      </c>
      <c r="D21">
        <v>3240</v>
      </c>
      <c r="E21">
        <v>368767</v>
      </c>
      <c r="F21">
        <v>2095</v>
      </c>
      <c r="G21">
        <v>217</v>
      </c>
      <c r="H21">
        <v>90</v>
      </c>
      <c r="I21">
        <v>12</v>
      </c>
    </row>
    <row r="22" spans="1:9">
      <c r="A22" t="s">
        <v>33</v>
      </c>
      <c r="B22">
        <v>1</v>
      </c>
      <c r="C22">
        <v>3</v>
      </c>
      <c r="D22">
        <v>18</v>
      </c>
      <c r="E22">
        <v>1810</v>
      </c>
      <c r="F22">
        <v>82</v>
      </c>
      <c r="G22">
        <v>1</v>
      </c>
      <c r="H22">
        <v>1</v>
      </c>
      <c r="I22">
        <v>0</v>
      </c>
    </row>
    <row r="23" spans="1:9">
      <c r="A23" t="s">
        <v>33</v>
      </c>
      <c r="B23">
        <v>7</v>
      </c>
      <c r="C23">
        <v>21</v>
      </c>
      <c r="D23">
        <v>126</v>
      </c>
      <c r="E23">
        <v>19407</v>
      </c>
      <c r="F23">
        <v>270</v>
      </c>
      <c r="G23">
        <v>15</v>
      </c>
      <c r="H23">
        <v>7</v>
      </c>
      <c r="I23">
        <v>0</v>
      </c>
    </row>
    <row r="24" spans="1:9">
      <c r="A24" t="s">
        <v>33</v>
      </c>
      <c r="B24">
        <v>30</v>
      </c>
      <c r="C24">
        <v>90</v>
      </c>
      <c r="D24">
        <v>540</v>
      </c>
      <c r="E24">
        <v>80157</v>
      </c>
      <c r="F24">
        <v>720</v>
      </c>
      <c r="G24">
        <v>53</v>
      </c>
      <c r="H24">
        <v>30</v>
      </c>
      <c r="I24">
        <v>3</v>
      </c>
    </row>
    <row r="25" spans="1:9">
      <c r="A25" t="s">
        <v>33</v>
      </c>
      <c r="B25">
        <v>60</v>
      </c>
      <c r="C25">
        <v>180</v>
      </c>
      <c r="D25">
        <v>1080</v>
      </c>
      <c r="E25">
        <v>162765</v>
      </c>
      <c r="F25">
        <v>1230</v>
      </c>
      <c r="G25">
        <v>103</v>
      </c>
      <c r="H25">
        <v>60</v>
      </c>
      <c r="I25">
        <v>7</v>
      </c>
    </row>
    <row r="26" spans="1:9">
      <c r="A26" t="s">
        <v>33</v>
      </c>
      <c r="B26">
        <v>90</v>
      </c>
      <c r="C26">
        <v>270</v>
      </c>
      <c r="D26">
        <v>1620</v>
      </c>
      <c r="E26">
        <v>245688</v>
      </c>
      <c r="F26">
        <v>1677</v>
      </c>
      <c r="G26">
        <v>161</v>
      </c>
      <c r="H26">
        <v>90</v>
      </c>
      <c r="I26">
        <v>11</v>
      </c>
    </row>
    <row r="29" spans="1:9">
      <c r="A29" s="3" t="s">
        <v>34</v>
      </c>
    </row>
  </sheetData>
  <autoFilter ref="A1:I2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2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3.7109375" customWidth="1"/>
    <col min="2" max="2" width="12.7109375" customWidth="1"/>
    <col min="3" max="3" width="22.7109375" customWidth="1"/>
    <col min="4" max="4" width="19.7109375" customWidth="1"/>
    <col min="5" max="5" width="57.7109375" customWidth="1"/>
  </cols>
  <sheetData>
    <row r="1" spans="1:5" ht="32" customHeight="1">
      <c r="A1" s="5" t="s">
        <v>20</v>
      </c>
      <c r="B1" s="5" t="s">
        <v>35</v>
      </c>
      <c r="C1" s="5" t="s">
        <v>36</v>
      </c>
      <c r="D1" s="5" t="s">
        <v>37</v>
      </c>
      <c r="E1" s="5" t="s">
        <v>38</v>
      </c>
    </row>
    <row r="2" spans="1:5">
      <c r="A2" t="s">
        <v>29</v>
      </c>
      <c r="B2" t="s">
        <v>39</v>
      </c>
      <c r="C2" t="s">
        <v>40</v>
      </c>
      <c r="D2">
        <v>500</v>
      </c>
      <c r="E2" t="s">
        <v>41</v>
      </c>
    </row>
    <row r="3" spans="1:5">
      <c r="A3" t="s">
        <v>29</v>
      </c>
      <c r="B3" t="s">
        <v>39</v>
      </c>
      <c r="C3" t="s">
        <v>42</v>
      </c>
      <c r="D3">
        <v>4444</v>
      </c>
      <c r="E3" t="s">
        <v>41</v>
      </c>
    </row>
    <row r="4" spans="1:5">
      <c r="A4" t="s">
        <v>29</v>
      </c>
      <c r="B4" t="s">
        <v>39</v>
      </c>
      <c r="C4" t="s">
        <v>43</v>
      </c>
      <c r="D4">
        <v>9450</v>
      </c>
      <c r="E4" t="s">
        <v>41</v>
      </c>
    </row>
    <row r="5" spans="1:5">
      <c r="A5" t="s">
        <v>29</v>
      </c>
      <c r="B5" t="s">
        <v>39</v>
      </c>
      <c r="C5" t="s">
        <v>44</v>
      </c>
      <c r="D5">
        <v>4300</v>
      </c>
      <c r="E5" t="s">
        <v>41</v>
      </c>
    </row>
    <row r="6" spans="1:5">
      <c r="A6" t="s">
        <v>29</v>
      </c>
      <c r="B6" t="s">
        <v>39</v>
      </c>
      <c r="C6" t="s">
        <v>45</v>
      </c>
      <c r="D6">
        <v>900</v>
      </c>
      <c r="E6" t="s">
        <v>41</v>
      </c>
    </row>
    <row r="7" spans="1:5">
      <c r="A7" t="s">
        <v>29</v>
      </c>
      <c r="B7" t="s">
        <v>39</v>
      </c>
      <c r="C7" t="s">
        <v>46</v>
      </c>
      <c r="D7">
        <v>1950</v>
      </c>
      <c r="E7" t="s">
        <v>41</v>
      </c>
    </row>
    <row r="8" spans="1:5">
      <c r="A8" t="s">
        <v>29</v>
      </c>
      <c r="B8" t="s">
        <v>39</v>
      </c>
      <c r="C8" t="s">
        <v>47</v>
      </c>
      <c r="D8">
        <v>225</v>
      </c>
      <c r="E8" t="s">
        <v>41</v>
      </c>
    </row>
    <row r="9" spans="1:5">
      <c r="A9" t="s">
        <v>29</v>
      </c>
      <c r="B9" t="s">
        <v>39</v>
      </c>
      <c r="C9" t="s">
        <v>48</v>
      </c>
      <c r="D9">
        <v>7700</v>
      </c>
      <c r="E9" t="s">
        <v>41</v>
      </c>
    </row>
    <row r="10" spans="1:5">
      <c r="A10" t="s">
        <v>29</v>
      </c>
      <c r="B10" t="s">
        <v>39</v>
      </c>
      <c r="C10" t="s">
        <v>49</v>
      </c>
      <c r="D10">
        <v>8920</v>
      </c>
      <c r="E10" t="s">
        <v>41</v>
      </c>
    </row>
    <row r="11" spans="1:5">
      <c r="A11" t="s">
        <v>29</v>
      </c>
      <c r="B11" t="s">
        <v>39</v>
      </c>
      <c r="C11" t="s">
        <v>50</v>
      </c>
      <c r="D11">
        <v>0</v>
      </c>
      <c r="E11" t="s">
        <v>41</v>
      </c>
    </row>
    <row r="12" spans="1:5">
      <c r="A12" t="s">
        <v>29</v>
      </c>
      <c r="B12" t="s">
        <v>39</v>
      </c>
      <c r="C12" t="s">
        <v>51</v>
      </c>
      <c r="D12">
        <v>0</v>
      </c>
      <c r="E12" t="s">
        <v>41</v>
      </c>
    </row>
    <row r="13" spans="1:5">
      <c r="A13" t="s">
        <v>29</v>
      </c>
      <c r="B13" t="s">
        <v>39</v>
      </c>
      <c r="C13" t="s">
        <v>52</v>
      </c>
      <c r="D13">
        <v>910</v>
      </c>
      <c r="E13" t="s">
        <v>41</v>
      </c>
    </row>
    <row r="14" spans="1:5">
      <c r="A14" t="s">
        <v>29</v>
      </c>
      <c r="B14" t="s">
        <v>39</v>
      </c>
      <c r="C14" t="s">
        <v>53</v>
      </c>
      <c r="D14">
        <v>1300</v>
      </c>
      <c r="E14" t="s">
        <v>41</v>
      </c>
    </row>
    <row r="15" spans="1:5">
      <c r="A15" t="s">
        <v>29</v>
      </c>
      <c r="B15" t="s">
        <v>39</v>
      </c>
      <c r="C15" t="s">
        <v>54</v>
      </c>
      <c r="D15">
        <v>7648</v>
      </c>
      <c r="E15" t="s">
        <v>41</v>
      </c>
    </row>
    <row r="16" spans="1:5">
      <c r="A16" t="s">
        <v>29</v>
      </c>
      <c r="B16" t="s">
        <v>55</v>
      </c>
      <c r="C16" t="s">
        <v>40</v>
      </c>
      <c r="D16">
        <v>50</v>
      </c>
      <c r="E16" t="s">
        <v>41</v>
      </c>
    </row>
    <row r="17" spans="1:5">
      <c r="A17" t="s">
        <v>29</v>
      </c>
      <c r="B17" t="s">
        <v>55</v>
      </c>
      <c r="C17" t="s">
        <v>43</v>
      </c>
      <c r="D17">
        <v>130</v>
      </c>
      <c r="E17" t="s">
        <v>41</v>
      </c>
    </row>
    <row r="18" spans="1:5">
      <c r="A18" t="s">
        <v>29</v>
      </c>
      <c r="B18" t="s">
        <v>55</v>
      </c>
      <c r="C18" t="s">
        <v>56</v>
      </c>
      <c r="D18">
        <v>6</v>
      </c>
      <c r="E18" t="s">
        <v>41</v>
      </c>
    </row>
    <row r="19" spans="1:5">
      <c r="A19" t="s">
        <v>29</v>
      </c>
      <c r="B19" t="s">
        <v>55</v>
      </c>
      <c r="C19" t="s">
        <v>45</v>
      </c>
      <c r="D19">
        <v>30</v>
      </c>
      <c r="E19" t="s">
        <v>41</v>
      </c>
    </row>
    <row r="20" spans="1:5">
      <c r="A20" t="s">
        <v>29</v>
      </c>
      <c r="B20" t="s">
        <v>55</v>
      </c>
      <c r="C20" t="s">
        <v>57</v>
      </c>
      <c r="D20">
        <v>22</v>
      </c>
      <c r="E20" t="s">
        <v>41</v>
      </c>
    </row>
    <row r="21" spans="1:5">
      <c r="A21" t="s">
        <v>29</v>
      </c>
      <c r="B21" t="s">
        <v>55</v>
      </c>
      <c r="C21" t="s">
        <v>49</v>
      </c>
      <c r="D21">
        <v>60</v>
      </c>
      <c r="E21" t="s">
        <v>41</v>
      </c>
    </row>
    <row r="22" spans="1:5">
      <c r="A22" t="s">
        <v>29</v>
      </c>
      <c r="B22" t="s">
        <v>55</v>
      </c>
      <c r="C22" t="s">
        <v>58</v>
      </c>
      <c r="D22">
        <v>170</v>
      </c>
      <c r="E22" t="s">
        <v>41</v>
      </c>
    </row>
    <row r="23" spans="1:5">
      <c r="A23" t="s">
        <v>29</v>
      </c>
      <c r="B23" t="s">
        <v>55</v>
      </c>
      <c r="C23" t="s">
        <v>59</v>
      </c>
      <c r="D23">
        <v>0</v>
      </c>
      <c r="E23" t="s">
        <v>41</v>
      </c>
    </row>
    <row r="24" spans="1:5">
      <c r="A24" t="s">
        <v>29</v>
      </c>
      <c r="B24" t="s">
        <v>55</v>
      </c>
      <c r="C24" t="s">
        <v>60</v>
      </c>
      <c r="D24">
        <v>20</v>
      </c>
      <c r="E24" t="s">
        <v>41</v>
      </c>
    </row>
    <row r="25" spans="1:5">
      <c r="A25" t="s">
        <v>29</v>
      </c>
      <c r="B25" t="s">
        <v>55</v>
      </c>
      <c r="C25" t="s">
        <v>52</v>
      </c>
      <c r="D25">
        <v>0</v>
      </c>
      <c r="E25" t="s">
        <v>41</v>
      </c>
    </row>
    <row r="26" spans="1:5">
      <c r="A26" t="s">
        <v>29</v>
      </c>
      <c r="B26" t="s">
        <v>55</v>
      </c>
      <c r="C26" t="s">
        <v>53</v>
      </c>
      <c r="D26">
        <v>39</v>
      </c>
      <c r="E26" t="s">
        <v>41</v>
      </c>
    </row>
    <row r="27" spans="1:5">
      <c r="A27" t="s">
        <v>30</v>
      </c>
      <c r="B27" t="s">
        <v>39</v>
      </c>
      <c r="C27" t="s">
        <v>40</v>
      </c>
      <c r="D27">
        <v>500</v>
      </c>
      <c r="E27" t="s">
        <v>41</v>
      </c>
    </row>
    <row r="28" spans="1:5">
      <c r="A28" t="s">
        <v>30</v>
      </c>
      <c r="B28" t="s">
        <v>39</v>
      </c>
      <c r="C28" t="s">
        <v>42</v>
      </c>
      <c r="D28">
        <v>13325</v>
      </c>
      <c r="E28" t="s">
        <v>41</v>
      </c>
    </row>
    <row r="29" spans="1:5">
      <c r="A29" t="s">
        <v>30</v>
      </c>
      <c r="B29" t="s">
        <v>39</v>
      </c>
      <c r="C29" t="s">
        <v>43</v>
      </c>
      <c r="D29">
        <v>12500</v>
      </c>
      <c r="E29" t="s">
        <v>41</v>
      </c>
    </row>
    <row r="30" spans="1:5">
      <c r="A30" t="s">
        <v>30</v>
      </c>
      <c r="B30" t="s">
        <v>39</v>
      </c>
      <c r="C30" t="s">
        <v>44</v>
      </c>
      <c r="D30">
        <v>9400</v>
      </c>
      <c r="E30" t="s">
        <v>41</v>
      </c>
    </row>
    <row r="31" spans="1:5">
      <c r="A31" t="s">
        <v>30</v>
      </c>
      <c r="B31" t="s">
        <v>39</v>
      </c>
      <c r="C31" t="s">
        <v>45</v>
      </c>
      <c r="D31">
        <v>6100</v>
      </c>
      <c r="E31" t="s">
        <v>41</v>
      </c>
    </row>
    <row r="32" spans="1:5">
      <c r="A32" t="s">
        <v>30</v>
      </c>
      <c r="B32" t="s">
        <v>39</v>
      </c>
      <c r="C32" t="s">
        <v>46</v>
      </c>
      <c r="D32">
        <v>2550</v>
      </c>
      <c r="E32" t="s">
        <v>41</v>
      </c>
    </row>
    <row r="33" spans="1:5">
      <c r="A33" t="s">
        <v>30</v>
      </c>
      <c r="B33" t="s">
        <v>39</v>
      </c>
      <c r="C33" t="s">
        <v>47</v>
      </c>
      <c r="D33">
        <v>400</v>
      </c>
      <c r="E33" t="s">
        <v>41</v>
      </c>
    </row>
    <row r="34" spans="1:5">
      <c r="A34" t="s">
        <v>30</v>
      </c>
      <c r="B34" t="s">
        <v>39</v>
      </c>
      <c r="C34" t="s">
        <v>48</v>
      </c>
      <c r="D34">
        <v>10000</v>
      </c>
      <c r="E34" t="s">
        <v>41</v>
      </c>
    </row>
    <row r="35" spans="1:5">
      <c r="A35" t="s">
        <v>30</v>
      </c>
      <c r="B35" t="s">
        <v>39</v>
      </c>
      <c r="C35" t="s">
        <v>49</v>
      </c>
      <c r="D35">
        <v>18715</v>
      </c>
      <c r="E35" t="s">
        <v>41</v>
      </c>
    </row>
    <row r="36" spans="1:5">
      <c r="A36" t="s">
        <v>30</v>
      </c>
      <c r="B36" t="s">
        <v>39</v>
      </c>
      <c r="C36" t="s">
        <v>50</v>
      </c>
      <c r="D36">
        <v>0</v>
      </c>
      <c r="E36" t="s">
        <v>41</v>
      </c>
    </row>
    <row r="37" spans="1:5">
      <c r="A37" t="s">
        <v>30</v>
      </c>
      <c r="B37" t="s">
        <v>39</v>
      </c>
      <c r="C37" t="s">
        <v>51</v>
      </c>
      <c r="D37">
        <v>0</v>
      </c>
      <c r="E37" t="s">
        <v>41</v>
      </c>
    </row>
    <row r="38" spans="1:5">
      <c r="A38" t="s">
        <v>30</v>
      </c>
      <c r="B38" t="s">
        <v>39</v>
      </c>
      <c r="C38" t="s">
        <v>52</v>
      </c>
      <c r="D38">
        <v>1390</v>
      </c>
      <c r="E38" t="s">
        <v>41</v>
      </c>
    </row>
    <row r="39" spans="1:5">
      <c r="A39" t="s">
        <v>30</v>
      </c>
      <c r="B39" t="s">
        <v>39</v>
      </c>
      <c r="C39" t="s">
        <v>53</v>
      </c>
      <c r="D39">
        <v>2900</v>
      </c>
      <c r="E39" t="s">
        <v>41</v>
      </c>
    </row>
    <row r="40" spans="1:5">
      <c r="A40" t="s">
        <v>30</v>
      </c>
      <c r="B40" t="s">
        <v>39</v>
      </c>
      <c r="C40" t="s">
        <v>54</v>
      </c>
      <c r="D40">
        <v>12168</v>
      </c>
      <c r="E40" t="s">
        <v>41</v>
      </c>
    </row>
    <row r="41" spans="1:5">
      <c r="A41" t="s">
        <v>30</v>
      </c>
      <c r="B41" t="s">
        <v>55</v>
      </c>
      <c r="C41" t="s">
        <v>40</v>
      </c>
      <c r="D41">
        <v>50</v>
      </c>
      <c r="E41" t="s">
        <v>41</v>
      </c>
    </row>
    <row r="42" spans="1:5">
      <c r="A42" t="s">
        <v>30</v>
      </c>
      <c r="B42" t="s">
        <v>55</v>
      </c>
      <c r="C42" t="s">
        <v>43</v>
      </c>
      <c r="D42">
        <v>175</v>
      </c>
      <c r="E42" t="s">
        <v>41</v>
      </c>
    </row>
    <row r="43" spans="1:5">
      <c r="A43" t="s">
        <v>30</v>
      </c>
      <c r="B43" t="s">
        <v>55</v>
      </c>
      <c r="C43" t="s">
        <v>56</v>
      </c>
      <c r="D43">
        <v>12</v>
      </c>
      <c r="E43" t="s">
        <v>41</v>
      </c>
    </row>
    <row r="44" spans="1:5">
      <c r="A44" t="s">
        <v>30</v>
      </c>
      <c r="B44" t="s">
        <v>55</v>
      </c>
      <c r="C44" t="s">
        <v>45</v>
      </c>
      <c r="D44">
        <v>170</v>
      </c>
      <c r="E44" t="s">
        <v>41</v>
      </c>
    </row>
    <row r="45" spans="1:5">
      <c r="A45" t="s">
        <v>30</v>
      </c>
      <c r="B45" t="s">
        <v>55</v>
      </c>
      <c r="C45" t="s">
        <v>57</v>
      </c>
      <c r="D45">
        <v>30</v>
      </c>
      <c r="E45" t="s">
        <v>41</v>
      </c>
    </row>
    <row r="46" spans="1:5">
      <c r="A46" t="s">
        <v>30</v>
      </c>
      <c r="B46" t="s">
        <v>55</v>
      </c>
      <c r="C46" t="s">
        <v>49</v>
      </c>
      <c r="D46">
        <v>125</v>
      </c>
      <c r="E46" t="s">
        <v>41</v>
      </c>
    </row>
    <row r="47" spans="1:5">
      <c r="A47" t="s">
        <v>30</v>
      </c>
      <c r="B47" t="s">
        <v>55</v>
      </c>
      <c r="C47" t="s">
        <v>58</v>
      </c>
      <c r="D47">
        <v>195</v>
      </c>
      <c r="E47" t="s">
        <v>41</v>
      </c>
    </row>
    <row r="48" spans="1:5">
      <c r="A48" t="s">
        <v>30</v>
      </c>
      <c r="B48" t="s">
        <v>55</v>
      </c>
      <c r="C48" t="s">
        <v>59</v>
      </c>
      <c r="D48">
        <v>0</v>
      </c>
      <c r="E48" t="s">
        <v>41</v>
      </c>
    </row>
    <row r="49" spans="1:5">
      <c r="A49" t="s">
        <v>30</v>
      </c>
      <c r="B49" t="s">
        <v>55</v>
      </c>
      <c r="C49" t="s">
        <v>60</v>
      </c>
      <c r="D49">
        <v>20</v>
      </c>
      <c r="E49" t="s">
        <v>41</v>
      </c>
    </row>
    <row r="50" spans="1:5">
      <c r="A50" t="s">
        <v>30</v>
      </c>
      <c r="B50" t="s">
        <v>55</v>
      </c>
      <c r="C50" t="s">
        <v>52</v>
      </c>
      <c r="D50">
        <v>24</v>
      </c>
      <c r="E50" t="s">
        <v>41</v>
      </c>
    </row>
    <row r="51" spans="1:5">
      <c r="A51" t="s">
        <v>30</v>
      </c>
      <c r="B51" t="s">
        <v>55</v>
      </c>
      <c r="C51" t="s">
        <v>53</v>
      </c>
      <c r="D51">
        <v>87</v>
      </c>
      <c r="E51" t="s">
        <v>41</v>
      </c>
    </row>
    <row r="52" spans="1:5">
      <c r="A52" t="s">
        <v>31</v>
      </c>
      <c r="B52" t="s">
        <v>39</v>
      </c>
      <c r="C52" t="s">
        <v>40</v>
      </c>
      <c r="D52">
        <v>500</v>
      </c>
      <c r="E52" t="s">
        <v>41</v>
      </c>
    </row>
    <row r="53" spans="1:5">
      <c r="A53" t="s">
        <v>31</v>
      </c>
      <c r="B53" t="s">
        <v>39</v>
      </c>
      <c r="C53" t="s">
        <v>42</v>
      </c>
      <c r="D53">
        <v>33755</v>
      </c>
      <c r="E53" t="s">
        <v>41</v>
      </c>
    </row>
    <row r="54" spans="1:5">
      <c r="A54" t="s">
        <v>31</v>
      </c>
      <c r="B54" t="s">
        <v>39</v>
      </c>
      <c r="C54" t="s">
        <v>43</v>
      </c>
      <c r="D54">
        <v>22350</v>
      </c>
      <c r="E54" t="s">
        <v>41</v>
      </c>
    </row>
    <row r="55" spans="1:5">
      <c r="A55" t="s">
        <v>31</v>
      </c>
      <c r="B55" t="s">
        <v>39</v>
      </c>
      <c r="C55" t="s">
        <v>44</v>
      </c>
      <c r="D55">
        <v>19040</v>
      </c>
      <c r="E55" t="s">
        <v>41</v>
      </c>
    </row>
    <row r="56" spans="1:5">
      <c r="A56" t="s">
        <v>31</v>
      </c>
      <c r="B56" t="s">
        <v>39</v>
      </c>
      <c r="C56" t="s">
        <v>45</v>
      </c>
      <c r="D56">
        <v>14300</v>
      </c>
      <c r="E56" t="s">
        <v>41</v>
      </c>
    </row>
    <row r="57" spans="1:5">
      <c r="A57" t="s">
        <v>31</v>
      </c>
      <c r="B57" t="s">
        <v>39</v>
      </c>
      <c r="C57" t="s">
        <v>46</v>
      </c>
      <c r="D57">
        <v>6750</v>
      </c>
      <c r="E57" t="s">
        <v>41</v>
      </c>
    </row>
    <row r="58" spans="1:5">
      <c r="A58" t="s">
        <v>31</v>
      </c>
      <c r="B58" t="s">
        <v>39</v>
      </c>
      <c r="C58" t="s">
        <v>47</v>
      </c>
      <c r="D58">
        <v>1075</v>
      </c>
      <c r="E58" t="s">
        <v>41</v>
      </c>
    </row>
    <row r="59" spans="1:5">
      <c r="A59" t="s">
        <v>31</v>
      </c>
      <c r="B59" t="s">
        <v>39</v>
      </c>
      <c r="C59" t="s">
        <v>48</v>
      </c>
      <c r="D59">
        <v>23200</v>
      </c>
      <c r="E59" t="s">
        <v>41</v>
      </c>
    </row>
    <row r="60" spans="1:5">
      <c r="A60" t="s">
        <v>31</v>
      </c>
      <c r="B60" t="s">
        <v>39</v>
      </c>
      <c r="C60" t="s">
        <v>49</v>
      </c>
      <c r="D60">
        <v>50410</v>
      </c>
      <c r="E60" t="s">
        <v>41</v>
      </c>
    </row>
    <row r="61" spans="1:5">
      <c r="A61" t="s">
        <v>31</v>
      </c>
      <c r="B61" t="s">
        <v>39</v>
      </c>
      <c r="C61" t="s">
        <v>50</v>
      </c>
      <c r="D61">
        <v>0</v>
      </c>
      <c r="E61" t="s">
        <v>41</v>
      </c>
    </row>
    <row r="62" spans="1:5">
      <c r="A62" t="s">
        <v>31</v>
      </c>
      <c r="B62" t="s">
        <v>39</v>
      </c>
      <c r="C62" t="s">
        <v>51</v>
      </c>
      <c r="D62">
        <v>0</v>
      </c>
      <c r="E62" t="s">
        <v>41</v>
      </c>
    </row>
    <row r="63" spans="1:5">
      <c r="A63" t="s">
        <v>31</v>
      </c>
      <c r="B63" t="s">
        <v>39</v>
      </c>
      <c r="C63" t="s">
        <v>52</v>
      </c>
      <c r="D63">
        <v>6990</v>
      </c>
      <c r="E63" t="s">
        <v>41</v>
      </c>
    </row>
    <row r="64" spans="1:5">
      <c r="A64" t="s">
        <v>31</v>
      </c>
      <c r="B64" t="s">
        <v>39</v>
      </c>
      <c r="C64" t="s">
        <v>53</v>
      </c>
      <c r="D64">
        <v>6700</v>
      </c>
      <c r="E64" t="s">
        <v>41</v>
      </c>
    </row>
    <row r="65" spans="1:5">
      <c r="A65" t="s">
        <v>31</v>
      </c>
      <c r="B65" t="s">
        <v>39</v>
      </c>
      <c r="C65" t="s">
        <v>54</v>
      </c>
      <c r="D65">
        <v>26312</v>
      </c>
      <c r="E65" t="s">
        <v>41</v>
      </c>
    </row>
    <row r="66" spans="1:5">
      <c r="A66" t="s">
        <v>31</v>
      </c>
      <c r="B66" t="s">
        <v>55</v>
      </c>
      <c r="C66" t="s">
        <v>40</v>
      </c>
      <c r="D66">
        <v>50</v>
      </c>
      <c r="E66" t="s">
        <v>41</v>
      </c>
    </row>
    <row r="67" spans="1:5">
      <c r="A67" t="s">
        <v>31</v>
      </c>
      <c r="B67" t="s">
        <v>55</v>
      </c>
      <c r="C67" t="s">
        <v>43</v>
      </c>
      <c r="D67">
        <v>305</v>
      </c>
      <c r="E67" t="s">
        <v>41</v>
      </c>
    </row>
    <row r="68" spans="1:5">
      <c r="A68" t="s">
        <v>31</v>
      </c>
      <c r="B68" t="s">
        <v>55</v>
      </c>
      <c r="C68" t="s">
        <v>56</v>
      </c>
      <c r="D68">
        <v>42</v>
      </c>
      <c r="E68" t="s">
        <v>41</v>
      </c>
    </row>
    <row r="69" spans="1:5">
      <c r="A69" t="s">
        <v>31</v>
      </c>
      <c r="B69" t="s">
        <v>55</v>
      </c>
      <c r="C69" t="s">
        <v>45</v>
      </c>
      <c r="D69">
        <v>390</v>
      </c>
      <c r="E69" t="s">
        <v>41</v>
      </c>
    </row>
    <row r="70" spans="1:5">
      <c r="A70" t="s">
        <v>31</v>
      </c>
      <c r="B70" t="s">
        <v>55</v>
      </c>
      <c r="C70" t="s">
        <v>57</v>
      </c>
      <c r="D70">
        <v>44</v>
      </c>
      <c r="E70" t="s">
        <v>41</v>
      </c>
    </row>
    <row r="71" spans="1:5">
      <c r="A71" t="s">
        <v>31</v>
      </c>
      <c r="B71" t="s">
        <v>55</v>
      </c>
      <c r="C71" t="s">
        <v>49</v>
      </c>
      <c r="D71">
        <v>345</v>
      </c>
      <c r="E71" t="s">
        <v>41</v>
      </c>
    </row>
    <row r="72" spans="1:5">
      <c r="A72" t="s">
        <v>31</v>
      </c>
      <c r="B72" t="s">
        <v>55</v>
      </c>
      <c r="C72" t="s">
        <v>58</v>
      </c>
      <c r="D72">
        <v>215</v>
      </c>
      <c r="E72" t="s">
        <v>41</v>
      </c>
    </row>
    <row r="73" spans="1:5">
      <c r="A73" t="s">
        <v>31</v>
      </c>
      <c r="B73" t="s">
        <v>55</v>
      </c>
      <c r="C73" t="s">
        <v>59</v>
      </c>
      <c r="D73">
        <v>0</v>
      </c>
      <c r="E73" t="s">
        <v>41</v>
      </c>
    </row>
    <row r="74" spans="1:5">
      <c r="A74" t="s">
        <v>31</v>
      </c>
      <c r="B74" t="s">
        <v>55</v>
      </c>
      <c r="C74" t="s">
        <v>60</v>
      </c>
      <c r="D74">
        <v>20</v>
      </c>
      <c r="E74" t="s">
        <v>41</v>
      </c>
    </row>
    <row r="75" spans="1:5">
      <c r="A75" t="s">
        <v>31</v>
      </c>
      <c r="B75" t="s">
        <v>55</v>
      </c>
      <c r="C75" t="s">
        <v>52</v>
      </c>
      <c r="D75">
        <v>65</v>
      </c>
      <c r="E75" t="s">
        <v>41</v>
      </c>
    </row>
    <row r="76" spans="1:5">
      <c r="A76" t="s">
        <v>31</v>
      </c>
      <c r="B76" t="s">
        <v>55</v>
      </c>
      <c r="C76" t="s">
        <v>53</v>
      </c>
      <c r="D76">
        <v>201</v>
      </c>
      <c r="E76" t="s">
        <v>41</v>
      </c>
    </row>
    <row r="77" spans="1:5">
      <c r="A77" t="s">
        <v>32</v>
      </c>
      <c r="B77" t="s">
        <v>39</v>
      </c>
      <c r="C77" t="s">
        <v>40</v>
      </c>
      <c r="D77">
        <v>500</v>
      </c>
      <c r="E77" t="s">
        <v>41</v>
      </c>
    </row>
    <row r="78" spans="1:5">
      <c r="A78" t="s">
        <v>32</v>
      </c>
      <c r="B78" t="s">
        <v>39</v>
      </c>
      <c r="C78" t="s">
        <v>42</v>
      </c>
      <c r="D78">
        <v>97672</v>
      </c>
      <c r="E78" t="s">
        <v>41</v>
      </c>
    </row>
    <row r="79" spans="1:5">
      <c r="A79" t="s">
        <v>32</v>
      </c>
      <c r="B79" t="s">
        <v>39</v>
      </c>
      <c r="C79" t="s">
        <v>43</v>
      </c>
      <c r="D79">
        <v>44700</v>
      </c>
      <c r="E79" t="s">
        <v>41</v>
      </c>
    </row>
    <row r="80" spans="1:5">
      <c r="A80" t="s">
        <v>32</v>
      </c>
      <c r="B80" t="s">
        <v>39</v>
      </c>
      <c r="C80" t="s">
        <v>44</v>
      </c>
      <c r="D80">
        <v>29910</v>
      </c>
      <c r="E80" t="s">
        <v>41</v>
      </c>
    </row>
    <row r="81" spans="1:5">
      <c r="A81" t="s">
        <v>32</v>
      </c>
      <c r="B81" t="s">
        <v>39</v>
      </c>
      <c r="C81" t="s">
        <v>45</v>
      </c>
      <c r="D81">
        <v>14300</v>
      </c>
      <c r="E81" t="s">
        <v>41</v>
      </c>
    </row>
    <row r="82" spans="1:5">
      <c r="A82" t="s">
        <v>32</v>
      </c>
      <c r="B82" t="s">
        <v>39</v>
      </c>
      <c r="C82" t="s">
        <v>46</v>
      </c>
      <c r="D82">
        <v>13500</v>
      </c>
      <c r="E82" t="s">
        <v>41</v>
      </c>
    </row>
    <row r="83" spans="1:5">
      <c r="A83" t="s">
        <v>32</v>
      </c>
      <c r="B83" t="s">
        <v>39</v>
      </c>
      <c r="C83" t="s">
        <v>47</v>
      </c>
      <c r="D83">
        <v>2225</v>
      </c>
      <c r="E83" t="s">
        <v>41</v>
      </c>
    </row>
    <row r="84" spans="1:5">
      <c r="A84" t="s">
        <v>32</v>
      </c>
      <c r="B84" t="s">
        <v>39</v>
      </c>
      <c r="C84" t="s">
        <v>48</v>
      </c>
      <c r="D84">
        <v>26800</v>
      </c>
      <c r="E84" t="s">
        <v>41</v>
      </c>
    </row>
    <row r="85" spans="1:5">
      <c r="A85" t="s">
        <v>32</v>
      </c>
      <c r="B85" t="s">
        <v>39</v>
      </c>
      <c r="C85" t="s">
        <v>49</v>
      </c>
      <c r="D85">
        <v>51720</v>
      </c>
      <c r="E85" t="s">
        <v>41</v>
      </c>
    </row>
    <row r="86" spans="1:5">
      <c r="A86" t="s">
        <v>32</v>
      </c>
      <c r="B86" t="s">
        <v>39</v>
      </c>
      <c r="C86" t="s">
        <v>50</v>
      </c>
      <c r="D86">
        <v>16434</v>
      </c>
      <c r="E86" t="s">
        <v>41</v>
      </c>
    </row>
    <row r="87" spans="1:5">
      <c r="A87" t="s">
        <v>32</v>
      </c>
      <c r="B87" t="s">
        <v>39</v>
      </c>
      <c r="C87" t="s">
        <v>51</v>
      </c>
      <c r="D87">
        <v>0</v>
      </c>
      <c r="E87" t="s">
        <v>41</v>
      </c>
    </row>
    <row r="88" spans="1:5">
      <c r="A88" t="s">
        <v>32</v>
      </c>
      <c r="B88" t="s">
        <v>39</v>
      </c>
      <c r="C88" t="s">
        <v>52</v>
      </c>
      <c r="D88">
        <v>6990</v>
      </c>
      <c r="E88" t="s">
        <v>41</v>
      </c>
    </row>
    <row r="89" spans="1:5">
      <c r="A89" t="s">
        <v>32</v>
      </c>
      <c r="B89" t="s">
        <v>39</v>
      </c>
      <c r="C89" t="s">
        <v>53</v>
      </c>
      <c r="D89">
        <v>8400</v>
      </c>
      <c r="E89" t="s">
        <v>41</v>
      </c>
    </row>
    <row r="90" spans="1:5">
      <c r="A90" t="s">
        <v>32</v>
      </c>
      <c r="B90" t="s">
        <v>39</v>
      </c>
      <c r="C90" t="s">
        <v>54</v>
      </c>
      <c r="D90">
        <v>55616</v>
      </c>
      <c r="E90" t="s">
        <v>41</v>
      </c>
    </row>
    <row r="91" spans="1:5">
      <c r="A91" t="s">
        <v>32</v>
      </c>
      <c r="B91" t="s">
        <v>55</v>
      </c>
      <c r="C91" t="s">
        <v>40</v>
      </c>
      <c r="D91">
        <v>50</v>
      </c>
      <c r="E91" t="s">
        <v>41</v>
      </c>
    </row>
    <row r="92" spans="1:5">
      <c r="A92" t="s">
        <v>32</v>
      </c>
      <c r="B92" t="s">
        <v>55</v>
      </c>
      <c r="C92" t="s">
        <v>43</v>
      </c>
      <c r="D92">
        <v>305</v>
      </c>
      <c r="E92" t="s">
        <v>41</v>
      </c>
    </row>
    <row r="93" spans="1:5">
      <c r="A93" t="s">
        <v>32</v>
      </c>
      <c r="B93" t="s">
        <v>55</v>
      </c>
      <c r="C93" t="s">
        <v>56</v>
      </c>
      <c r="D93">
        <v>108</v>
      </c>
      <c r="E93" t="s">
        <v>41</v>
      </c>
    </row>
    <row r="94" spans="1:5">
      <c r="A94" t="s">
        <v>32</v>
      </c>
      <c r="B94" t="s">
        <v>55</v>
      </c>
      <c r="C94" t="s">
        <v>45</v>
      </c>
      <c r="D94">
        <v>390</v>
      </c>
      <c r="E94" t="s">
        <v>41</v>
      </c>
    </row>
    <row r="95" spans="1:5">
      <c r="A95" t="s">
        <v>32</v>
      </c>
      <c r="B95" t="s">
        <v>55</v>
      </c>
      <c r="C95" t="s">
        <v>57</v>
      </c>
      <c r="D95">
        <v>60</v>
      </c>
      <c r="E95" t="s">
        <v>41</v>
      </c>
    </row>
    <row r="96" spans="1:5">
      <c r="A96" t="s">
        <v>32</v>
      </c>
      <c r="B96" t="s">
        <v>55</v>
      </c>
      <c r="C96" t="s">
        <v>49</v>
      </c>
      <c r="D96">
        <v>360</v>
      </c>
      <c r="E96" t="s">
        <v>41</v>
      </c>
    </row>
    <row r="97" spans="1:5">
      <c r="A97" t="s">
        <v>32</v>
      </c>
      <c r="B97" t="s">
        <v>55</v>
      </c>
      <c r="C97" t="s">
        <v>58</v>
      </c>
      <c r="D97">
        <v>215</v>
      </c>
      <c r="E97" t="s">
        <v>41</v>
      </c>
    </row>
    <row r="98" spans="1:5">
      <c r="A98" t="s">
        <v>32</v>
      </c>
      <c r="B98" t="s">
        <v>55</v>
      </c>
      <c r="C98" t="s">
        <v>59</v>
      </c>
      <c r="D98">
        <v>270</v>
      </c>
      <c r="E98" t="s">
        <v>41</v>
      </c>
    </row>
    <row r="99" spans="1:5">
      <c r="A99" t="s">
        <v>32</v>
      </c>
      <c r="B99" t="s">
        <v>55</v>
      </c>
      <c r="C99" t="s">
        <v>60</v>
      </c>
      <c r="D99">
        <v>20</v>
      </c>
      <c r="E99" t="s">
        <v>41</v>
      </c>
    </row>
    <row r="100" spans="1:5">
      <c r="A100" t="s">
        <v>32</v>
      </c>
      <c r="B100" t="s">
        <v>55</v>
      </c>
      <c r="C100" t="s">
        <v>52</v>
      </c>
      <c r="D100">
        <v>65</v>
      </c>
      <c r="E100" t="s">
        <v>41</v>
      </c>
    </row>
    <row r="101" spans="1:5">
      <c r="A101" t="s">
        <v>32</v>
      </c>
      <c r="B101" t="s">
        <v>55</v>
      </c>
      <c r="C101" t="s">
        <v>53</v>
      </c>
      <c r="D101">
        <v>252</v>
      </c>
      <c r="E101" t="s">
        <v>41</v>
      </c>
    </row>
    <row r="102" spans="1:5">
      <c r="A102" t="s">
        <v>33</v>
      </c>
      <c r="B102" t="s">
        <v>39</v>
      </c>
      <c r="C102" t="s">
        <v>40</v>
      </c>
      <c r="D102">
        <v>500</v>
      </c>
      <c r="E102" t="s">
        <v>41</v>
      </c>
    </row>
    <row r="103" spans="1:5">
      <c r="A103" t="s">
        <v>33</v>
      </c>
      <c r="B103" t="s">
        <v>39</v>
      </c>
      <c r="C103" t="s">
        <v>42</v>
      </c>
      <c r="D103">
        <v>67533</v>
      </c>
      <c r="E103" t="s">
        <v>41</v>
      </c>
    </row>
    <row r="104" spans="1:5">
      <c r="A104" t="s">
        <v>33</v>
      </c>
      <c r="B104" t="s">
        <v>39</v>
      </c>
      <c r="C104" t="s">
        <v>43</v>
      </c>
      <c r="D104">
        <v>22350</v>
      </c>
      <c r="E104" t="s">
        <v>41</v>
      </c>
    </row>
    <row r="105" spans="1:5">
      <c r="A105" t="s">
        <v>33</v>
      </c>
      <c r="B105" t="s">
        <v>39</v>
      </c>
      <c r="C105" t="s">
        <v>44</v>
      </c>
      <c r="D105">
        <v>19040</v>
      </c>
      <c r="E105" t="s">
        <v>41</v>
      </c>
    </row>
    <row r="106" spans="1:5">
      <c r="A106" t="s">
        <v>33</v>
      </c>
      <c r="B106" t="s">
        <v>39</v>
      </c>
      <c r="C106" t="s">
        <v>45</v>
      </c>
      <c r="D106">
        <v>14300</v>
      </c>
      <c r="E106" t="s">
        <v>41</v>
      </c>
    </row>
    <row r="107" spans="1:5">
      <c r="A107" t="s">
        <v>33</v>
      </c>
      <c r="B107" t="s">
        <v>39</v>
      </c>
      <c r="C107" t="s">
        <v>46</v>
      </c>
      <c r="D107">
        <v>6750</v>
      </c>
      <c r="E107" t="s">
        <v>41</v>
      </c>
    </row>
    <row r="108" spans="1:5">
      <c r="A108" t="s">
        <v>33</v>
      </c>
      <c r="B108" t="s">
        <v>39</v>
      </c>
      <c r="C108" t="s">
        <v>47</v>
      </c>
      <c r="D108">
        <v>1075</v>
      </c>
      <c r="E108" t="s">
        <v>41</v>
      </c>
    </row>
    <row r="109" spans="1:5">
      <c r="A109" t="s">
        <v>33</v>
      </c>
      <c r="B109" t="s">
        <v>39</v>
      </c>
      <c r="C109" t="s">
        <v>48</v>
      </c>
      <c r="D109">
        <v>23200</v>
      </c>
      <c r="E109" t="s">
        <v>41</v>
      </c>
    </row>
    <row r="110" spans="1:5">
      <c r="A110" t="s">
        <v>33</v>
      </c>
      <c r="B110" t="s">
        <v>39</v>
      </c>
      <c r="C110" t="s">
        <v>49</v>
      </c>
      <c r="D110">
        <v>50410</v>
      </c>
      <c r="E110" t="s">
        <v>41</v>
      </c>
    </row>
    <row r="111" spans="1:5">
      <c r="A111" t="s">
        <v>33</v>
      </c>
      <c r="B111" t="s">
        <v>39</v>
      </c>
      <c r="C111" t="s">
        <v>50</v>
      </c>
      <c r="D111">
        <v>0</v>
      </c>
      <c r="E111" t="s">
        <v>41</v>
      </c>
    </row>
    <row r="112" spans="1:5">
      <c r="A112" t="s">
        <v>33</v>
      </c>
      <c r="B112" t="s">
        <v>39</v>
      </c>
      <c r="C112" t="s">
        <v>51</v>
      </c>
      <c r="D112">
        <v>0</v>
      </c>
      <c r="E112" t="s">
        <v>41</v>
      </c>
    </row>
    <row r="113" spans="1:5">
      <c r="A113" t="s">
        <v>33</v>
      </c>
      <c r="B113" t="s">
        <v>39</v>
      </c>
      <c r="C113" t="s">
        <v>52</v>
      </c>
      <c r="D113">
        <v>6990</v>
      </c>
      <c r="E113" t="s">
        <v>41</v>
      </c>
    </row>
    <row r="114" spans="1:5">
      <c r="A114" t="s">
        <v>33</v>
      </c>
      <c r="B114" t="s">
        <v>39</v>
      </c>
      <c r="C114" t="s">
        <v>53</v>
      </c>
      <c r="D114">
        <v>6700</v>
      </c>
      <c r="E114" t="s">
        <v>41</v>
      </c>
    </row>
    <row r="115" spans="1:5">
      <c r="A115" t="s">
        <v>33</v>
      </c>
      <c r="B115" t="s">
        <v>39</v>
      </c>
      <c r="C115" t="s">
        <v>54</v>
      </c>
      <c r="D115">
        <v>26840</v>
      </c>
      <c r="E115" t="s">
        <v>41</v>
      </c>
    </row>
    <row r="116" spans="1:5">
      <c r="A116" t="s">
        <v>33</v>
      </c>
      <c r="B116" t="s">
        <v>55</v>
      </c>
      <c r="C116" t="s">
        <v>40</v>
      </c>
      <c r="D116">
        <v>50</v>
      </c>
      <c r="E116" t="s">
        <v>41</v>
      </c>
    </row>
    <row r="117" spans="1:5">
      <c r="A117" t="s">
        <v>33</v>
      </c>
      <c r="B117" t="s">
        <v>55</v>
      </c>
      <c r="C117" t="s">
        <v>43</v>
      </c>
      <c r="D117">
        <v>305</v>
      </c>
      <c r="E117" t="s">
        <v>41</v>
      </c>
    </row>
    <row r="118" spans="1:5">
      <c r="A118" t="s">
        <v>33</v>
      </c>
      <c r="B118" t="s">
        <v>55</v>
      </c>
      <c r="C118" t="s">
        <v>56</v>
      </c>
      <c r="D118">
        <v>42</v>
      </c>
      <c r="E118" t="s">
        <v>41</v>
      </c>
    </row>
    <row r="119" spans="1:5">
      <c r="A119" t="s">
        <v>33</v>
      </c>
      <c r="B119" t="s">
        <v>55</v>
      </c>
      <c r="C119" t="s">
        <v>45</v>
      </c>
      <c r="D119">
        <v>390</v>
      </c>
      <c r="E119" t="s">
        <v>41</v>
      </c>
    </row>
    <row r="120" spans="1:5">
      <c r="A120" t="s">
        <v>33</v>
      </c>
      <c r="B120" t="s">
        <v>55</v>
      </c>
      <c r="C120" t="s">
        <v>57</v>
      </c>
      <c r="D120">
        <v>44</v>
      </c>
      <c r="E120" t="s">
        <v>41</v>
      </c>
    </row>
    <row r="121" spans="1:5">
      <c r="A121" t="s">
        <v>33</v>
      </c>
      <c r="B121" t="s">
        <v>55</v>
      </c>
      <c r="C121" t="s">
        <v>49</v>
      </c>
      <c r="D121">
        <v>345</v>
      </c>
      <c r="E121" t="s">
        <v>41</v>
      </c>
    </row>
    <row r="122" spans="1:5">
      <c r="A122" t="s">
        <v>33</v>
      </c>
      <c r="B122" t="s">
        <v>55</v>
      </c>
      <c r="C122" t="s">
        <v>58</v>
      </c>
      <c r="D122">
        <v>215</v>
      </c>
      <c r="E122" t="s">
        <v>41</v>
      </c>
    </row>
    <row r="123" spans="1:5">
      <c r="A123" t="s">
        <v>33</v>
      </c>
      <c r="B123" t="s">
        <v>55</v>
      </c>
      <c r="C123" t="s">
        <v>59</v>
      </c>
      <c r="D123">
        <v>0</v>
      </c>
      <c r="E123" t="s">
        <v>41</v>
      </c>
    </row>
    <row r="124" spans="1:5">
      <c r="A124" t="s">
        <v>33</v>
      </c>
      <c r="B124" t="s">
        <v>55</v>
      </c>
      <c r="C124" t="s">
        <v>60</v>
      </c>
      <c r="D124">
        <v>20</v>
      </c>
      <c r="E124" t="s">
        <v>41</v>
      </c>
    </row>
    <row r="125" spans="1:5">
      <c r="A125" t="s">
        <v>33</v>
      </c>
      <c r="B125" t="s">
        <v>55</v>
      </c>
      <c r="C125" t="s">
        <v>52</v>
      </c>
      <c r="D125">
        <v>65</v>
      </c>
      <c r="E125" t="s">
        <v>41</v>
      </c>
    </row>
    <row r="126" spans="1:5">
      <c r="A126" t="s">
        <v>33</v>
      </c>
      <c r="B126" t="s">
        <v>55</v>
      </c>
      <c r="C126" t="s">
        <v>53</v>
      </c>
      <c r="D126">
        <v>201</v>
      </c>
      <c r="E126" t="s">
        <v>41</v>
      </c>
    </row>
  </sheetData>
  <autoFilter ref="A1:E12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3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2.7109375" customWidth="1"/>
    <col min="2" max="2" width="31.7109375" customWidth="1"/>
    <col min="3" max="3" width="11.7109375" customWidth="1"/>
    <col min="4" max="4" width="14.7109375" customWidth="1"/>
    <col min="5" max="5" width="17.7109375" customWidth="1"/>
    <col min="6" max="6" width="24.7109375" customWidth="1"/>
    <col min="7" max="7" width="22.7109375" customWidth="1"/>
    <col min="8" max="8" width="18.7109375" customWidth="1"/>
    <col min="9" max="9" width="20.7109375" customWidth="1"/>
    <col min="10" max="10" width="18.7109375" customWidth="1"/>
    <col min="11" max="11" width="27.7109375" customWidth="1"/>
  </cols>
  <sheetData>
    <row r="1" spans="1:11" ht="32" customHeight="1">
      <c r="A1" s="5" t="s">
        <v>20</v>
      </c>
      <c r="B1" s="5" t="s">
        <v>61</v>
      </c>
      <c r="C1" s="5" t="s">
        <v>35</v>
      </c>
      <c r="D1" s="5" t="s">
        <v>62</v>
      </c>
      <c r="E1" s="5" t="s">
        <v>63</v>
      </c>
      <c r="F1" s="5" t="s">
        <v>64</v>
      </c>
      <c r="G1" s="5" t="s">
        <v>65</v>
      </c>
      <c r="H1" s="5" t="s">
        <v>66</v>
      </c>
      <c r="I1" s="5" t="s">
        <v>67</v>
      </c>
      <c r="J1" s="5" t="s">
        <v>68</v>
      </c>
      <c r="K1" s="5" t="s">
        <v>69</v>
      </c>
    </row>
    <row r="2" spans="1:11">
      <c r="A2" t="s">
        <v>29</v>
      </c>
      <c r="B2" t="s">
        <v>70</v>
      </c>
      <c r="C2" t="s">
        <v>71</v>
      </c>
      <c r="D2" s="6">
        <v>800</v>
      </c>
      <c r="E2" s="6">
        <v>500</v>
      </c>
      <c r="F2" s="6">
        <v>554.05</v>
      </c>
      <c r="G2" s="7">
        <v>0.4</v>
      </c>
      <c r="H2" s="8">
        <f>IF(F2*G2&gt;0,ROUNDUP(MAX(0,D2-E2)/(F2*G2),0),0)</f>
        <v>2</v>
      </c>
      <c r="I2" s="8">
        <f>ROUNDUP(H2*J2/7,0)</f>
        <v>2</v>
      </c>
      <c r="J2" s="6">
        <v>6</v>
      </c>
      <c r="K2">
        <v>1</v>
      </c>
    </row>
    <row r="3" spans="1:11">
      <c r="A3" t="s">
        <v>29</v>
      </c>
      <c r="B3" t="s">
        <v>72</v>
      </c>
      <c r="C3" t="s">
        <v>71</v>
      </c>
      <c r="D3" s="6">
        <v>3000</v>
      </c>
      <c r="E3" s="6">
        <v>500</v>
      </c>
      <c r="F3" s="6">
        <v>554.05</v>
      </c>
      <c r="G3" s="7">
        <v>0.4</v>
      </c>
      <c r="H3" s="8">
        <f>IF(F3*G3&gt;0,ROUNDUP(MAX(0,D3-E3)/(F3*G3),0),0)</f>
        <v>12</v>
      </c>
      <c r="I3" s="8">
        <f>ROUNDUP(H3*J3/7,0)</f>
        <v>11</v>
      </c>
      <c r="J3" s="6">
        <v>6</v>
      </c>
      <c r="K3">
        <v>6</v>
      </c>
    </row>
    <row r="4" spans="1:11">
      <c r="A4" t="s">
        <v>29</v>
      </c>
      <c r="B4" t="s">
        <v>73</v>
      </c>
      <c r="C4" t="s">
        <v>71</v>
      </c>
      <c r="D4" s="6">
        <v>7500</v>
      </c>
      <c r="E4" s="6">
        <v>500</v>
      </c>
      <c r="F4" s="6">
        <v>554.05</v>
      </c>
      <c r="G4" s="7">
        <v>0.4</v>
      </c>
      <c r="H4" s="8">
        <f>IF(F4*G4&gt;0,ROUNDUP(MAX(0,D4-E4)/(F4*G4),0),0)</f>
        <v>32</v>
      </c>
      <c r="I4" s="8">
        <f>ROUNDUP(H4*J4/7,0)</f>
        <v>28</v>
      </c>
      <c r="J4" s="6">
        <v>6</v>
      </c>
      <c r="K4">
        <v>15</v>
      </c>
    </row>
    <row r="5" spans="1:11">
      <c r="A5" t="s">
        <v>29</v>
      </c>
      <c r="B5" t="s">
        <v>74</v>
      </c>
      <c r="C5" t="s">
        <v>71</v>
      </c>
      <c r="D5" s="6">
        <v>35600</v>
      </c>
      <c r="E5" s="6">
        <v>500</v>
      </c>
      <c r="F5" s="6">
        <v>554.05</v>
      </c>
      <c r="G5" s="7">
        <v>0.4</v>
      </c>
      <c r="H5" s="8">
        <f>IF(F5*G5&gt;0,ROUNDUP(MAX(0,D5-E5)/(F5*G5),0),0)</f>
        <v>159</v>
      </c>
      <c r="I5" s="8">
        <f>ROUNDUP(H5*J5/7,0)</f>
        <v>137</v>
      </c>
      <c r="J5" s="6">
        <v>6</v>
      </c>
      <c r="K5">
        <v>71</v>
      </c>
    </row>
    <row r="6" spans="1:11">
      <c r="A6" t="s">
        <v>29</v>
      </c>
      <c r="B6" t="s">
        <v>75</v>
      </c>
      <c r="C6" t="s">
        <v>76</v>
      </c>
      <c r="D6" s="6">
        <v>200</v>
      </c>
      <c r="E6" s="6">
        <v>50</v>
      </c>
      <c r="F6" s="6">
        <v>5.15</v>
      </c>
      <c r="G6" s="7">
        <v>0.75</v>
      </c>
      <c r="H6" s="8">
        <f>IF(F6*G6&gt;0,ROUNDUP(MAX(0,D6-E6)/(F6*G6),0),0)</f>
        <v>39</v>
      </c>
      <c r="I6" s="8">
        <f>ROUNDUP(H6*J6/7,0)</f>
        <v>34</v>
      </c>
      <c r="J6" s="6">
        <v>6</v>
      </c>
      <c r="K6">
        <v>24</v>
      </c>
    </row>
    <row r="7" spans="1:11">
      <c r="A7" t="s">
        <v>29</v>
      </c>
      <c r="B7" t="s">
        <v>77</v>
      </c>
      <c r="C7" t="s">
        <v>76</v>
      </c>
      <c r="D7" s="6">
        <v>600</v>
      </c>
      <c r="E7" s="6">
        <v>50</v>
      </c>
      <c r="F7" s="6">
        <v>5.15</v>
      </c>
      <c r="G7" s="7">
        <v>0.75</v>
      </c>
      <c r="H7" s="8">
        <f>IF(F7*G7&gt;0,ROUNDUP(MAX(0,D7-E7)/(F7*G7),0),0)</f>
        <v>143</v>
      </c>
      <c r="I7" s="8">
        <f>ROUNDUP(H7*J7/7,0)</f>
        <v>123</v>
      </c>
      <c r="J7" s="6">
        <v>6</v>
      </c>
      <c r="K7" t="s">
        <v>78</v>
      </c>
    </row>
    <row r="8" spans="1:11">
      <c r="A8" t="s">
        <v>29</v>
      </c>
      <c r="B8" t="s">
        <v>79</v>
      </c>
      <c r="C8" t="s">
        <v>76</v>
      </c>
      <c r="D8" s="6">
        <v>1700</v>
      </c>
      <c r="E8" s="6">
        <v>50</v>
      </c>
      <c r="F8" s="6">
        <v>5.15</v>
      </c>
      <c r="G8" s="7">
        <v>0.75</v>
      </c>
      <c r="H8" s="8">
        <f>IF(F8*G8&gt;0,ROUNDUP(MAX(0,D8-E8)/(F8*G8),0),0)</f>
        <v>428</v>
      </c>
      <c r="I8" s="8">
        <f>ROUNDUP(H8*J8/7,0)</f>
        <v>367</v>
      </c>
      <c r="J8" s="6">
        <v>6</v>
      </c>
      <c r="K8" t="s">
        <v>78</v>
      </c>
    </row>
    <row r="9" spans="1:11">
      <c r="A9" t="s">
        <v>30</v>
      </c>
      <c r="B9" t="s">
        <v>70</v>
      </c>
      <c r="C9" t="s">
        <v>71</v>
      </c>
      <c r="D9" s="6">
        <v>800</v>
      </c>
      <c r="E9" s="6">
        <v>500</v>
      </c>
      <c r="F9" s="6">
        <v>1005.6</v>
      </c>
      <c r="G9" s="7">
        <v>0.4</v>
      </c>
      <c r="H9" s="8">
        <f>IF(F9*G9&gt;0,ROUNDUP(MAX(0,D9-E9)/(F9*G9),0),0)</f>
        <v>1</v>
      </c>
      <c r="I9" s="8">
        <f>ROUNDUP(H9*J9/7,0)</f>
        <v>2</v>
      </c>
      <c r="J9" s="6">
        <v>8</v>
      </c>
      <c r="K9">
        <v>1</v>
      </c>
    </row>
    <row r="10" spans="1:11">
      <c r="A10" t="s">
        <v>30</v>
      </c>
      <c r="B10" t="s">
        <v>72</v>
      </c>
      <c r="C10" t="s">
        <v>71</v>
      </c>
      <c r="D10" s="6">
        <v>3000</v>
      </c>
      <c r="E10" s="6">
        <v>500</v>
      </c>
      <c r="F10" s="6">
        <v>1005.6</v>
      </c>
      <c r="G10" s="7">
        <v>0.4</v>
      </c>
      <c r="H10" s="8">
        <f>IF(F10*G10&gt;0,ROUNDUP(MAX(0,D10-E10)/(F10*G10),0),0)</f>
        <v>7</v>
      </c>
      <c r="I10" s="8">
        <f>ROUNDUP(H10*J10/7,0)</f>
        <v>8</v>
      </c>
      <c r="J10" s="6">
        <v>8</v>
      </c>
      <c r="K10">
        <v>5</v>
      </c>
    </row>
    <row r="11" spans="1:11">
      <c r="A11" t="s">
        <v>30</v>
      </c>
      <c r="B11" t="s">
        <v>73</v>
      </c>
      <c r="C11" t="s">
        <v>71</v>
      </c>
      <c r="D11" s="6">
        <v>7500</v>
      </c>
      <c r="E11" s="6">
        <v>500</v>
      </c>
      <c r="F11" s="6">
        <v>1005.6</v>
      </c>
      <c r="G11" s="7">
        <v>0.4</v>
      </c>
      <c r="H11" s="8">
        <f>IF(F11*G11&gt;0,ROUNDUP(MAX(0,D11-E11)/(F11*G11),0),0)</f>
        <v>18</v>
      </c>
      <c r="I11" s="8">
        <f>ROUNDUP(H11*J11/7,0)</f>
        <v>21</v>
      </c>
      <c r="J11" s="6">
        <v>8</v>
      </c>
      <c r="K11">
        <v>10</v>
      </c>
    </row>
    <row r="12" spans="1:11">
      <c r="A12" t="s">
        <v>30</v>
      </c>
      <c r="B12" t="s">
        <v>74</v>
      </c>
      <c r="C12" t="s">
        <v>71</v>
      </c>
      <c r="D12" s="6">
        <v>35600</v>
      </c>
      <c r="E12" s="6">
        <v>500</v>
      </c>
      <c r="F12" s="6">
        <v>1005.6</v>
      </c>
      <c r="G12" s="7">
        <v>0.4</v>
      </c>
      <c r="H12" s="8">
        <f>IF(F12*G12&gt;0,ROUNDUP(MAX(0,D12-E12)/(F12*G12),0),0)</f>
        <v>88</v>
      </c>
      <c r="I12" s="8">
        <f>ROUNDUP(H12*J12/7,0)</f>
        <v>101</v>
      </c>
      <c r="J12" s="6">
        <v>8</v>
      </c>
      <c r="K12">
        <v>35</v>
      </c>
    </row>
    <row r="13" spans="1:11">
      <c r="A13" t="s">
        <v>30</v>
      </c>
      <c r="B13" t="s">
        <v>75</v>
      </c>
      <c r="C13" t="s">
        <v>76</v>
      </c>
      <c r="D13" s="6">
        <v>200</v>
      </c>
      <c r="E13" s="6">
        <v>50</v>
      </c>
      <c r="F13" s="6">
        <v>7.983333333333333</v>
      </c>
      <c r="G13" s="7">
        <v>0.75</v>
      </c>
      <c r="H13" s="8">
        <f>IF(F13*G13&gt;0,ROUNDUP(MAX(0,D13-E13)/(F13*G13),0),0)</f>
        <v>26</v>
      </c>
      <c r="I13" s="8">
        <f>ROUNDUP(H13*J13/7,0)</f>
        <v>30</v>
      </c>
      <c r="J13" s="6">
        <v>8</v>
      </c>
      <c r="K13">
        <v>12</v>
      </c>
    </row>
    <row r="14" spans="1:11">
      <c r="A14" t="s">
        <v>30</v>
      </c>
      <c r="B14" t="s">
        <v>77</v>
      </c>
      <c r="C14" t="s">
        <v>76</v>
      </c>
      <c r="D14" s="6">
        <v>600</v>
      </c>
      <c r="E14" s="6">
        <v>50</v>
      </c>
      <c r="F14" s="6">
        <v>7.983333333333333</v>
      </c>
      <c r="G14" s="7">
        <v>0.75</v>
      </c>
      <c r="H14" s="8">
        <f>IF(F14*G14&gt;0,ROUNDUP(MAX(0,D14-E14)/(F14*G14),0),0)</f>
        <v>92</v>
      </c>
      <c r="I14" s="8">
        <f>ROUNDUP(H14*J14/7,0)</f>
        <v>106</v>
      </c>
      <c r="J14" s="6">
        <v>8</v>
      </c>
      <c r="K14">
        <v>49</v>
      </c>
    </row>
    <row r="15" spans="1:11">
      <c r="A15" t="s">
        <v>30</v>
      </c>
      <c r="B15" t="s">
        <v>79</v>
      </c>
      <c r="C15" t="s">
        <v>76</v>
      </c>
      <c r="D15" s="6">
        <v>1700</v>
      </c>
      <c r="E15" s="6">
        <v>50</v>
      </c>
      <c r="F15" s="6">
        <v>7.983333333333333</v>
      </c>
      <c r="G15" s="7">
        <v>0.75</v>
      </c>
      <c r="H15" s="8">
        <f>IF(F15*G15&gt;0,ROUNDUP(MAX(0,D15-E15)/(F15*G15),0),0)</f>
        <v>276</v>
      </c>
      <c r="I15" s="8">
        <f>ROUNDUP(H15*J15/7,0)</f>
        <v>316</v>
      </c>
      <c r="J15" s="6">
        <v>8</v>
      </c>
      <c r="K15" t="s">
        <v>78</v>
      </c>
    </row>
    <row r="16" spans="1:11">
      <c r="A16" t="s">
        <v>31</v>
      </c>
      <c r="B16" t="s">
        <v>70</v>
      </c>
      <c r="C16" t="s">
        <v>71</v>
      </c>
      <c r="D16" s="6">
        <v>800</v>
      </c>
      <c r="E16" s="6">
        <v>500</v>
      </c>
      <c r="F16" s="6">
        <v>2386.683333333333</v>
      </c>
      <c r="G16" s="7">
        <v>0.4</v>
      </c>
      <c r="H16" s="8">
        <f>IF(F16*G16&gt;0,ROUNDUP(MAX(0,D16-E16)/(F16*G16),0),0)</f>
        <v>1</v>
      </c>
      <c r="I16" s="8">
        <f>ROUNDUP(H16*J16/7,0)</f>
        <v>3</v>
      </c>
      <c r="J16" s="6">
        <v>21</v>
      </c>
      <c r="K16">
        <v>1</v>
      </c>
    </row>
    <row r="17" spans="1:11">
      <c r="A17" t="s">
        <v>31</v>
      </c>
      <c r="B17" t="s">
        <v>72</v>
      </c>
      <c r="C17" t="s">
        <v>71</v>
      </c>
      <c r="D17" s="6">
        <v>3000</v>
      </c>
      <c r="E17" s="6">
        <v>500</v>
      </c>
      <c r="F17" s="6">
        <v>2386.683333333333</v>
      </c>
      <c r="G17" s="7">
        <v>0.4</v>
      </c>
      <c r="H17" s="8">
        <f>IF(F17*G17&gt;0,ROUNDUP(MAX(0,D17-E17)/(F17*G17),0),0)</f>
        <v>3</v>
      </c>
      <c r="I17" s="8">
        <f>ROUNDUP(H17*J17/7,0)</f>
        <v>9</v>
      </c>
      <c r="J17" s="6">
        <v>21</v>
      </c>
      <c r="K17">
        <v>2</v>
      </c>
    </row>
    <row r="18" spans="1:11">
      <c r="A18" t="s">
        <v>31</v>
      </c>
      <c r="B18" t="s">
        <v>73</v>
      </c>
      <c r="C18" t="s">
        <v>71</v>
      </c>
      <c r="D18" s="6">
        <v>7500</v>
      </c>
      <c r="E18" s="6">
        <v>500</v>
      </c>
      <c r="F18" s="6">
        <v>2386.683333333333</v>
      </c>
      <c r="G18" s="7">
        <v>0.4</v>
      </c>
      <c r="H18" s="8">
        <f>IF(F18*G18&gt;0,ROUNDUP(MAX(0,D18-E18)/(F18*G18),0),0)</f>
        <v>8</v>
      </c>
      <c r="I18" s="8">
        <f>ROUNDUP(H18*J18/7,0)</f>
        <v>24</v>
      </c>
      <c r="J18" s="6">
        <v>21</v>
      </c>
      <c r="K18">
        <v>4</v>
      </c>
    </row>
    <row r="19" spans="1:11">
      <c r="A19" t="s">
        <v>31</v>
      </c>
      <c r="B19" t="s">
        <v>74</v>
      </c>
      <c r="C19" t="s">
        <v>71</v>
      </c>
      <c r="D19" s="6">
        <v>35600</v>
      </c>
      <c r="E19" s="6">
        <v>500</v>
      </c>
      <c r="F19" s="6">
        <v>2386.683333333333</v>
      </c>
      <c r="G19" s="7">
        <v>0.4</v>
      </c>
      <c r="H19" s="8">
        <f>IF(F19*G19&gt;0,ROUNDUP(MAX(0,D19-E19)/(F19*G19),0),0)</f>
        <v>37</v>
      </c>
      <c r="I19" s="8">
        <f>ROUNDUP(H19*J19/7,0)</f>
        <v>111</v>
      </c>
      <c r="J19" s="6">
        <v>21</v>
      </c>
      <c r="K19">
        <v>16</v>
      </c>
    </row>
    <row r="20" spans="1:11">
      <c r="A20" t="s">
        <v>31</v>
      </c>
      <c r="B20" t="s">
        <v>75</v>
      </c>
      <c r="C20" t="s">
        <v>76</v>
      </c>
      <c r="D20" s="6">
        <v>200</v>
      </c>
      <c r="E20" s="6">
        <v>50</v>
      </c>
      <c r="F20" s="6">
        <v>15.95</v>
      </c>
      <c r="G20" s="7">
        <v>0.75</v>
      </c>
      <c r="H20" s="8">
        <f>IF(F20*G20&gt;0,ROUNDUP(MAX(0,D20-E20)/(F20*G20),0),0)</f>
        <v>13</v>
      </c>
      <c r="I20" s="8">
        <f>ROUNDUP(H20*J20/7,0)</f>
        <v>39</v>
      </c>
      <c r="J20" s="6">
        <v>21</v>
      </c>
      <c r="K20">
        <v>5</v>
      </c>
    </row>
    <row r="21" spans="1:11">
      <c r="A21" t="s">
        <v>31</v>
      </c>
      <c r="B21" t="s">
        <v>77</v>
      </c>
      <c r="C21" t="s">
        <v>76</v>
      </c>
      <c r="D21" s="6">
        <v>600</v>
      </c>
      <c r="E21" s="6">
        <v>50</v>
      </c>
      <c r="F21" s="6">
        <v>15.95</v>
      </c>
      <c r="G21" s="7">
        <v>0.75</v>
      </c>
      <c r="H21" s="8">
        <f>IF(F21*G21&gt;0,ROUNDUP(MAX(0,D21-E21)/(F21*G21),0),0)</f>
        <v>46</v>
      </c>
      <c r="I21" s="8">
        <f>ROUNDUP(H21*J21/7,0)</f>
        <v>138</v>
      </c>
      <c r="J21" s="6">
        <v>21</v>
      </c>
      <c r="K21">
        <v>22</v>
      </c>
    </row>
    <row r="22" spans="1:11">
      <c r="A22" t="s">
        <v>31</v>
      </c>
      <c r="B22" t="s">
        <v>79</v>
      </c>
      <c r="C22" t="s">
        <v>76</v>
      </c>
      <c r="D22" s="6">
        <v>1700</v>
      </c>
      <c r="E22" s="6">
        <v>50</v>
      </c>
      <c r="F22" s="6">
        <v>15.95</v>
      </c>
      <c r="G22" s="7">
        <v>0.75</v>
      </c>
      <c r="H22" s="8">
        <f>IF(F22*G22&gt;0,ROUNDUP(MAX(0,D22-E22)/(F22*G22),0),0)</f>
        <v>138</v>
      </c>
      <c r="I22" s="8">
        <f>ROUNDUP(H22*J22/7,0)</f>
        <v>414</v>
      </c>
      <c r="J22" s="6">
        <v>21</v>
      </c>
      <c r="K22" t="s">
        <v>78</v>
      </c>
    </row>
    <row r="23" spans="1:11">
      <c r="A23" t="s">
        <v>32</v>
      </c>
      <c r="B23" t="s">
        <v>70</v>
      </c>
      <c r="C23" t="s">
        <v>71</v>
      </c>
      <c r="D23" s="6">
        <v>800</v>
      </c>
      <c r="E23" s="6">
        <v>500</v>
      </c>
      <c r="F23" s="6">
        <v>3679.983333333333</v>
      </c>
      <c r="G23" s="7">
        <v>0.4</v>
      </c>
      <c r="H23" s="8">
        <f>IF(F23*G23&gt;0,ROUNDUP(MAX(0,D23-E23)/(F23*G23),0),0)</f>
        <v>1</v>
      </c>
      <c r="I23" s="8">
        <f>ROUNDUP(H23*J23/7,0)</f>
        <v>6</v>
      </c>
      <c r="J23" s="6">
        <v>42</v>
      </c>
      <c r="K23">
        <v>1</v>
      </c>
    </row>
    <row r="24" spans="1:11">
      <c r="A24" t="s">
        <v>32</v>
      </c>
      <c r="B24" t="s">
        <v>72</v>
      </c>
      <c r="C24" t="s">
        <v>71</v>
      </c>
      <c r="D24" s="6">
        <v>3000</v>
      </c>
      <c r="E24" s="6">
        <v>500</v>
      </c>
      <c r="F24" s="6">
        <v>3679.983333333333</v>
      </c>
      <c r="G24" s="7">
        <v>0.4</v>
      </c>
      <c r="H24" s="8">
        <f>IF(F24*G24&gt;0,ROUNDUP(MAX(0,D24-E24)/(F24*G24),0),0)</f>
        <v>2</v>
      </c>
      <c r="I24" s="8">
        <f>ROUNDUP(H24*J24/7,0)</f>
        <v>12</v>
      </c>
      <c r="J24" s="6">
        <v>42</v>
      </c>
      <c r="K24">
        <v>1</v>
      </c>
    </row>
    <row r="25" spans="1:11">
      <c r="A25" t="s">
        <v>32</v>
      </c>
      <c r="B25" t="s">
        <v>73</v>
      </c>
      <c r="C25" t="s">
        <v>71</v>
      </c>
      <c r="D25" s="6">
        <v>7500</v>
      </c>
      <c r="E25" s="6">
        <v>500</v>
      </c>
      <c r="F25" s="6">
        <v>3679.983333333333</v>
      </c>
      <c r="G25" s="7">
        <v>0.4</v>
      </c>
      <c r="H25" s="8">
        <f>IF(F25*G25&gt;0,ROUNDUP(MAX(0,D25-E25)/(F25*G25),0),0)</f>
        <v>5</v>
      </c>
      <c r="I25" s="8">
        <f>ROUNDUP(H25*J25/7,0)</f>
        <v>30</v>
      </c>
      <c r="J25" s="6">
        <v>42</v>
      </c>
      <c r="K25">
        <v>2</v>
      </c>
    </row>
    <row r="26" spans="1:11">
      <c r="A26" t="s">
        <v>32</v>
      </c>
      <c r="B26" t="s">
        <v>74</v>
      </c>
      <c r="C26" t="s">
        <v>71</v>
      </c>
      <c r="D26" s="6">
        <v>35600</v>
      </c>
      <c r="E26" s="6">
        <v>500</v>
      </c>
      <c r="F26" s="6">
        <v>3679.983333333333</v>
      </c>
      <c r="G26" s="7">
        <v>0.4</v>
      </c>
      <c r="H26" s="8">
        <f>IF(F26*G26&gt;0,ROUNDUP(MAX(0,D26-E26)/(F26*G26),0),0)</f>
        <v>24</v>
      </c>
      <c r="I26" s="8">
        <f>ROUNDUP(H26*J26/7,0)</f>
        <v>144</v>
      </c>
      <c r="J26" s="6">
        <v>42</v>
      </c>
      <c r="K26">
        <v>8</v>
      </c>
    </row>
    <row r="27" spans="1:11">
      <c r="A27" t="s">
        <v>32</v>
      </c>
      <c r="B27" t="s">
        <v>75</v>
      </c>
      <c r="C27" t="s">
        <v>76</v>
      </c>
      <c r="D27" s="6">
        <v>200</v>
      </c>
      <c r="E27" s="6">
        <v>50</v>
      </c>
      <c r="F27" s="6">
        <v>16.76666666666667</v>
      </c>
      <c r="G27" s="7">
        <v>0.75</v>
      </c>
      <c r="H27" s="8">
        <f>IF(F27*G27&gt;0,ROUNDUP(MAX(0,D27-E27)/(F27*G27),0),0)</f>
        <v>12</v>
      </c>
      <c r="I27" s="8">
        <f>ROUNDUP(H27*J27/7,0)</f>
        <v>72</v>
      </c>
      <c r="J27" s="6">
        <v>42</v>
      </c>
      <c r="K27">
        <v>3</v>
      </c>
    </row>
    <row r="28" spans="1:11">
      <c r="A28" t="s">
        <v>32</v>
      </c>
      <c r="B28" t="s">
        <v>77</v>
      </c>
      <c r="C28" t="s">
        <v>76</v>
      </c>
      <c r="D28" s="6">
        <v>600</v>
      </c>
      <c r="E28" s="6">
        <v>50</v>
      </c>
      <c r="F28" s="6">
        <v>16.76666666666667</v>
      </c>
      <c r="G28" s="7">
        <v>0.75</v>
      </c>
      <c r="H28" s="8">
        <f>IF(F28*G28&gt;0,ROUNDUP(MAX(0,D28-E28)/(F28*G28),0),0)</f>
        <v>44</v>
      </c>
      <c r="I28" s="8">
        <f>ROUNDUP(H28*J28/7,0)</f>
        <v>264</v>
      </c>
      <c r="J28" s="6">
        <v>42</v>
      </c>
      <c r="K28">
        <v>14</v>
      </c>
    </row>
    <row r="29" spans="1:11">
      <c r="A29" t="s">
        <v>32</v>
      </c>
      <c r="B29" t="s">
        <v>79</v>
      </c>
      <c r="C29" t="s">
        <v>76</v>
      </c>
      <c r="D29" s="6">
        <v>1700</v>
      </c>
      <c r="E29" s="6">
        <v>50</v>
      </c>
      <c r="F29" s="6">
        <v>16.76666666666667</v>
      </c>
      <c r="G29" s="7">
        <v>0.75</v>
      </c>
      <c r="H29" s="8">
        <f>IF(F29*G29&gt;0,ROUNDUP(MAX(0,D29-E29)/(F29*G29),0),0)</f>
        <v>132</v>
      </c>
      <c r="I29" s="8">
        <f>ROUNDUP(H29*J29/7,0)</f>
        <v>792</v>
      </c>
      <c r="J29" s="6">
        <v>42</v>
      </c>
      <c r="K29">
        <v>64</v>
      </c>
    </row>
    <row r="30" spans="1:11">
      <c r="A30" t="s">
        <v>33</v>
      </c>
      <c r="B30" t="s">
        <v>70</v>
      </c>
      <c r="C30" t="s">
        <v>71</v>
      </c>
      <c r="D30" s="6">
        <v>800</v>
      </c>
      <c r="E30" s="6">
        <v>500</v>
      </c>
      <c r="F30" s="6">
        <v>2758.85</v>
      </c>
      <c r="G30" s="7">
        <v>0.4</v>
      </c>
      <c r="H30" s="8">
        <f>IF(F30*G30&gt;0,ROUNDUP(MAX(0,D30-E30)/(F30*G30),0),0)</f>
        <v>1</v>
      </c>
      <c r="I30" s="8">
        <f>ROUNDUP(H30*J30/7,0)</f>
        <v>3</v>
      </c>
      <c r="J30" s="6">
        <v>21</v>
      </c>
      <c r="K30">
        <v>1</v>
      </c>
    </row>
    <row r="31" spans="1:11">
      <c r="A31" t="s">
        <v>33</v>
      </c>
      <c r="B31" t="s">
        <v>72</v>
      </c>
      <c r="C31" t="s">
        <v>71</v>
      </c>
      <c r="D31" s="6">
        <v>3000</v>
      </c>
      <c r="E31" s="6">
        <v>500</v>
      </c>
      <c r="F31" s="6">
        <v>2758.85</v>
      </c>
      <c r="G31" s="7">
        <v>0.4</v>
      </c>
      <c r="H31" s="8">
        <f>IF(F31*G31&gt;0,ROUNDUP(MAX(0,D31-E31)/(F31*G31),0),0)</f>
        <v>3</v>
      </c>
      <c r="I31" s="8">
        <f>ROUNDUP(H31*J31/7,0)</f>
        <v>9</v>
      </c>
      <c r="J31" s="6">
        <v>21</v>
      </c>
      <c r="K31">
        <v>2</v>
      </c>
    </row>
    <row r="32" spans="1:11">
      <c r="A32" t="s">
        <v>33</v>
      </c>
      <c r="B32" t="s">
        <v>73</v>
      </c>
      <c r="C32" t="s">
        <v>71</v>
      </c>
      <c r="D32" s="6">
        <v>7500</v>
      </c>
      <c r="E32" s="6">
        <v>500</v>
      </c>
      <c r="F32" s="6">
        <v>2758.85</v>
      </c>
      <c r="G32" s="7">
        <v>0.4</v>
      </c>
      <c r="H32" s="8">
        <f>IF(F32*G32&gt;0,ROUNDUP(MAX(0,D32-E32)/(F32*G32),0),0)</f>
        <v>7</v>
      </c>
      <c r="I32" s="8">
        <f>ROUNDUP(H32*J32/7,0)</f>
        <v>21</v>
      </c>
      <c r="J32" s="6">
        <v>21</v>
      </c>
      <c r="K32">
        <v>4</v>
      </c>
    </row>
    <row r="33" spans="1:11">
      <c r="A33" t="s">
        <v>33</v>
      </c>
      <c r="B33" t="s">
        <v>74</v>
      </c>
      <c r="C33" t="s">
        <v>71</v>
      </c>
      <c r="D33" s="6">
        <v>35600</v>
      </c>
      <c r="E33" s="6">
        <v>500</v>
      </c>
      <c r="F33" s="6">
        <v>2758.85</v>
      </c>
      <c r="G33" s="7">
        <v>0.4</v>
      </c>
      <c r="H33" s="8">
        <f>IF(F33*G33&gt;0,ROUNDUP(MAX(0,D33-E33)/(F33*G33),0),0)</f>
        <v>32</v>
      </c>
      <c r="I33" s="8">
        <f>ROUNDUP(H33*J33/7,0)</f>
        <v>96</v>
      </c>
      <c r="J33" s="6">
        <v>21</v>
      </c>
      <c r="K33">
        <v>13</v>
      </c>
    </row>
    <row r="34" spans="1:11">
      <c r="A34" t="s">
        <v>33</v>
      </c>
      <c r="B34" t="s">
        <v>75</v>
      </c>
      <c r="C34" t="s">
        <v>76</v>
      </c>
      <c r="D34" s="6">
        <v>200</v>
      </c>
      <c r="E34" s="6">
        <v>50</v>
      </c>
      <c r="F34" s="6">
        <v>15.95</v>
      </c>
      <c r="G34" s="7">
        <v>0.75</v>
      </c>
      <c r="H34" s="8">
        <f>IF(F34*G34&gt;0,ROUNDUP(MAX(0,D34-E34)/(F34*G34),0),0)</f>
        <v>13</v>
      </c>
      <c r="I34" s="8">
        <f>ROUNDUP(H34*J34/7,0)</f>
        <v>39</v>
      </c>
      <c r="J34" s="6">
        <v>21</v>
      </c>
      <c r="K34">
        <v>5</v>
      </c>
    </row>
    <row r="35" spans="1:11">
      <c r="A35" t="s">
        <v>33</v>
      </c>
      <c r="B35" t="s">
        <v>77</v>
      </c>
      <c r="C35" t="s">
        <v>76</v>
      </c>
      <c r="D35" s="6">
        <v>600</v>
      </c>
      <c r="E35" s="6">
        <v>50</v>
      </c>
      <c r="F35" s="6">
        <v>15.95</v>
      </c>
      <c r="G35" s="7">
        <v>0.75</v>
      </c>
      <c r="H35" s="8">
        <f>IF(F35*G35&gt;0,ROUNDUP(MAX(0,D35-E35)/(F35*G35),0),0)</f>
        <v>46</v>
      </c>
      <c r="I35" s="8">
        <f>ROUNDUP(H35*J35/7,0)</f>
        <v>138</v>
      </c>
      <c r="J35" s="6">
        <v>21</v>
      </c>
      <c r="K35">
        <v>22</v>
      </c>
    </row>
    <row r="36" spans="1:11">
      <c r="A36" t="s">
        <v>33</v>
      </c>
      <c r="B36" t="s">
        <v>79</v>
      </c>
      <c r="C36" t="s">
        <v>76</v>
      </c>
      <c r="D36" s="6">
        <v>1700</v>
      </c>
      <c r="E36" s="6">
        <v>50</v>
      </c>
      <c r="F36" s="6">
        <v>15.95</v>
      </c>
      <c r="G36" s="7">
        <v>0.75</v>
      </c>
      <c r="H36" s="8">
        <f>IF(F36*G36&gt;0,ROUNDUP(MAX(0,D36-E36)/(F36*G36),0),0)</f>
        <v>138</v>
      </c>
      <c r="I36" s="8">
        <f>ROUNDUP(H36*J36/7,0)</f>
        <v>414</v>
      </c>
      <c r="J36" s="6">
        <v>21</v>
      </c>
      <c r="K36" t="s">
        <v>78</v>
      </c>
    </row>
    <row r="39" spans="1:11" ht="42" customHeight="1">
      <c r="A39" s="3" t="s">
        <v>80</v>
      </c>
    </row>
  </sheetData>
  <autoFilter ref="A1:K36"/>
  <dataValidations count="2">
    <dataValidation type="decimal" allowBlank="1" showInputMessage="1" showErrorMessage="1" sqref="G2:G36">
      <formula1>0.01</formula1>
      <formula2>1</formula2>
    </dataValidation>
    <dataValidation type="decimal" operator="greaterThan" allowBlank="1" showInputMessage="1" showErrorMessage="1" sqref="F2:F36">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5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9.7109375" customWidth="1"/>
    <col min="2" max="2" width="29.7109375" customWidth="1"/>
    <col min="3" max="3" width="35.7109375" customWidth="1"/>
    <col min="4" max="5" width="14.7109375" customWidth="1"/>
    <col min="6" max="6" width="19.7109375" customWidth="1"/>
  </cols>
  <sheetData>
    <row r="1" spans="1:6" ht="32" customHeight="1">
      <c r="A1" s="5" t="s">
        <v>81</v>
      </c>
      <c r="B1" s="5" t="s">
        <v>82</v>
      </c>
      <c r="C1" s="5" t="s">
        <v>83</v>
      </c>
      <c r="D1" s="5" t="s">
        <v>39</v>
      </c>
      <c r="E1" s="5" t="s">
        <v>55</v>
      </c>
      <c r="F1" s="5" t="s">
        <v>84</v>
      </c>
    </row>
    <row r="2" spans="1:6">
      <c r="A2" t="s">
        <v>85</v>
      </c>
      <c r="B2" t="s">
        <v>86</v>
      </c>
      <c r="C2" t="s">
        <v>87</v>
      </c>
      <c r="D2">
        <v>400</v>
      </c>
      <c r="E2">
        <v>0</v>
      </c>
      <c r="F2">
        <v>0</v>
      </c>
    </row>
    <row r="3" spans="1:6">
      <c r="A3" t="s">
        <v>85</v>
      </c>
      <c r="B3" t="s">
        <v>88</v>
      </c>
      <c r="C3" t="s">
        <v>89</v>
      </c>
      <c r="D3">
        <v>1200</v>
      </c>
      <c r="E3">
        <v>0</v>
      </c>
      <c r="F3">
        <v>0</v>
      </c>
    </row>
    <row r="4" spans="1:6">
      <c r="A4" t="s">
        <v>85</v>
      </c>
      <c r="B4" t="s">
        <v>90</v>
      </c>
      <c r="C4" t="s">
        <v>91</v>
      </c>
      <c r="D4">
        <v>3000</v>
      </c>
      <c r="E4">
        <v>0</v>
      </c>
      <c r="F4">
        <v>0</v>
      </c>
    </row>
    <row r="5" spans="1:6">
      <c r="A5" t="s">
        <v>85</v>
      </c>
      <c r="B5" t="s">
        <v>92</v>
      </c>
      <c r="C5" t="s">
        <v>93</v>
      </c>
      <c r="D5">
        <v>400</v>
      </c>
      <c r="E5">
        <v>0</v>
      </c>
      <c r="F5">
        <v>0</v>
      </c>
    </row>
    <row r="6" spans="1:6">
      <c r="A6" t="s">
        <v>85</v>
      </c>
      <c r="B6" t="s">
        <v>94</v>
      </c>
      <c r="C6" t="s">
        <v>95</v>
      </c>
      <c r="D6">
        <v>1200</v>
      </c>
      <c r="E6">
        <v>0</v>
      </c>
      <c r="F6">
        <v>0</v>
      </c>
    </row>
    <row r="7" spans="1:6">
      <c r="A7" t="s">
        <v>85</v>
      </c>
      <c r="B7" t="s">
        <v>96</v>
      </c>
      <c r="C7" t="s">
        <v>97</v>
      </c>
      <c r="D7">
        <v>3000</v>
      </c>
      <c r="E7">
        <v>0</v>
      </c>
      <c r="F7">
        <v>0</v>
      </c>
    </row>
    <row r="8" spans="1:6">
      <c r="A8" t="s">
        <v>85</v>
      </c>
      <c r="B8" t="s">
        <v>98</v>
      </c>
      <c r="C8" t="s">
        <v>99</v>
      </c>
      <c r="D8">
        <v>300</v>
      </c>
      <c r="E8">
        <v>0</v>
      </c>
      <c r="F8">
        <v>0</v>
      </c>
    </row>
    <row r="9" spans="1:6">
      <c r="A9" t="s">
        <v>85</v>
      </c>
      <c r="B9" t="s">
        <v>100</v>
      </c>
      <c r="C9" t="s">
        <v>101</v>
      </c>
      <c r="D9">
        <v>900</v>
      </c>
      <c r="E9">
        <v>0</v>
      </c>
      <c r="F9">
        <v>0</v>
      </c>
    </row>
    <row r="10" spans="1:6">
      <c r="A10" t="s">
        <v>85</v>
      </c>
      <c r="B10" t="s">
        <v>102</v>
      </c>
      <c r="C10" t="s">
        <v>103</v>
      </c>
      <c r="D10">
        <v>2200</v>
      </c>
      <c r="E10">
        <v>0</v>
      </c>
      <c r="F10">
        <v>0</v>
      </c>
    </row>
    <row r="11" spans="1:6">
      <c r="A11" t="s">
        <v>85</v>
      </c>
      <c r="B11" t="s">
        <v>104</v>
      </c>
      <c r="C11" t="s">
        <v>105</v>
      </c>
      <c r="D11">
        <v>300</v>
      </c>
      <c r="E11">
        <v>0</v>
      </c>
      <c r="F11">
        <v>0</v>
      </c>
    </row>
    <row r="12" spans="1:6">
      <c r="A12" t="s">
        <v>85</v>
      </c>
      <c r="B12" t="s">
        <v>106</v>
      </c>
      <c r="C12" t="s">
        <v>107</v>
      </c>
      <c r="D12">
        <v>900</v>
      </c>
      <c r="E12">
        <v>0</v>
      </c>
      <c r="F12">
        <v>0</v>
      </c>
    </row>
    <row r="13" spans="1:6">
      <c r="A13" t="s">
        <v>85</v>
      </c>
      <c r="B13" t="s">
        <v>108</v>
      </c>
      <c r="C13" t="s">
        <v>109</v>
      </c>
      <c r="D13">
        <v>2200</v>
      </c>
      <c r="E13">
        <v>0</v>
      </c>
      <c r="F13">
        <v>0</v>
      </c>
    </row>
    <row r="14" spans="1:6">
      <c r="A14" t="s">
        <v>85</v>
      </c>
      <c r="B14" t="s">
        <v>110</v>
      </c>
      <c r="C14" t="s">
        <v>111</v>
      </c>
      <c r="D14">
        <v>500</v>
      </c>
      <c r="E14">
        <v>0</v>
      </c>
      <c r="F14">
        <v>0</v>
      </c>
    </row>
    <row r="15" spans="1:6">
      <c r="A15" t="s">
        <v>85</v>
      </c>
      <c r="B15" t="s">
        <v>112</v>
      </c>
      <c r="C15" t="s">
        <v>113</v>
      </c>
      <c r="D15">
        <v>1500</v>
      </c>
      <c r="E15">
        <v>0</v>
      </c>
      <c r="F15">
        <v>0</v>
      </c>
    </row>
    <row r="16" spans="1:6">
      <c r="A16" t="s">
        <v>85</v>
      </c>
      <c r="B16" t="s">
        <v>114</v>
      </c>
      <c r="C16" t="s">
        <v>115</v>
      </c>
      <c r="D16">
        <v>3500</v>
      </c>
      <c r="E16">
        <v>0</v>
      </c>
      <c r="F16">
        <v>0</v>
      </c>
    </row>
    <row r="17" spans="1:6">
      <c r="A17" t="s">
        <v>85</v>
      </c>
      <c r="B17" t="s">
        <v>116</v>
      </c>
      <c r="C17" t="s">
        <v>117</v>
      </c>
      <c r="D17">
        <v>400</v>
      </c>
      <c r="E17">
        <v>0</v>
      </c>
      <c r="F17">
        <v>0</v>
      </c>
    </row>
    <row r="18" spans="1:6">
      <c r="A18" t="s">
        <v>85</v>
      </c>
      <c r="B18" t="s">
        <v>118</v>
      </c>
      <c r="C18" t="s">
        <v>119</v>
      </c>
      <c r="D18">
        <v>1000</v>
      </c>
      <c r="E18">
        <v>0</v>
      </c>
      <c r="F18">
        <v>0</v>
      </c>
    </row>
    <row r="19" spans="1:6">
      <c r="A19" t="s">
        <v>85</v>
      </c>
      <c r="B19" t="s">
        <v>120</v>
      </c>
      <c r="C19" t="s">
        <v>121</v>
      </c>
      <c r="D19">
        <v>2000</v>
      </c>
      <c r="E19">
        <v>0</v>
      </c>
      <c r="F19">
        <v>0</v>
      </c>
    </row>
    <row r="20" spans="1:6">
      <c r="A20" t="s">
        <v>122</v>
      </c>
      <c r="B20" t="s">
        <v>123</v>
      </c>
      <c r="C20" t="s">
        <v>124</v>
      </c>
      <c r="D20">
        <v>800</v>
      </c>
      <c r="E20">
        <v>0</v>
      </c>
      <c r="F20">
        <v>1</v>
      </c>
    </row>
    <row r="21" spans="1:6">
      <c r="A21" t="s">
        <v>122</v>
      </c>
      <c r="B21" t="s">
        <v>125</v>
      </c>
      <c r="C21" t="s">
        <v>126</v>
      </c>
      <c r="D21">
        <v>3000</v>
      </c>
      <c r="E21">
        <v>0</v>
      </c>
      <c r="F21">
        <v>2</v>
      </c>
    </row>
    <row r="22" spans="1:6">
      <c r="A22" t="s">
        <v>122</v>
      </c>
      <c r="B22" t="s">
        <v>127</v>
      </c>
      <c r="C22" t="s">
        <v>128</v>
      </c>
      <c r="D22">
        <v>1200</v>
      </c>
      <c r="E22">
        <v>0</v>
      </c>
      <c r="F22">
        <v>1</v>
      </c>
    </row>
    <row r="23" spans="1:6">
      <c r="A23" t="s">
        <v>122</v>
      </c>
      <c r="B23" t="s">
        <v>129</v>
      </c>
      <c r="C23" t="s">
        <v>130</v>
      </c>
      <c r="D23">
        <v>1600</v>
      </c>
      <c r="E23">
        <v>0</v>
      </c>
      <c r="F23">
        <v>1</v>
      </c>
    </row>
    <row r="24" spans="1:6">
      <c r="A24" t="s">
        <v>122</v>
      </c>
      <c r="B24" t="s">
        <v>131</v>
      </c>
      <c r="C24" t="s">
        <v>132</v>
      </c>
      <c r="D24">
        <v>1600</v>
      </c>
      <c r="E24">
        <v>0</v>
      </c>
      <c r="F24">
        <v>1</v>
      </c>
    </row>
    <row r="25" spans="1:6">
      <c r="A25" t="s">
        <v>122</v>
      </c>
      <c r="B25" t="s">
        <v>133</v>
      </c>
      <c r="C25" t="s">
        <v>134</v>
      </c>
      <c r="D25">
        <v>3800</v>
      </c>
      <c r="E25">
        <v>0</v>
      </c>
      <c r="F25">
        <v>2</v>
      </c>
    </row>
    <row r="26" spans="1:6">
      <c r="A26" t="s">
        <v>122</v>
      </c>
      <c r="B26" t="s">
        <v>135</v>
      </c>
      <c r="C26" t="s">
        <v>136</v>
      </c>
      <c r="D26">
        <v>3800</v>
      </c>
      <c r="E26">
        <v>0</v>
      </c>
      <c r="F26">
        <v>2</v>
      </c>
    </row>
    <row r="27" spans="1:6">
      <c r="A27" t="s">
        <v>122</v>
      </c>
      <c r="B27" t="s">
        <v>137</v>
      </c>
      <c r="C27" t="s">
        <v>138</v>
      </c>
      <c r="D27">
        <v>9000</v>
      </c>
      <c r="E27">
        <v>0</v>
      </c>
      <c r="F27">
        <v>2</v>
      </c>
    </row>
    <row r="28" spans="1:6">
      <c r="A28" t="s">
        <v>122</v>
      </c>
      <c r="B28" t="s">
        <v>139</v>
      </c>
      <c r="C28" t="s">
        <v>140</v>
      </c>
      <c r="D28">
        <v>1500</v>
      </c>
      <c r="E28">
        <v>0</v>
      </c>
      <c r="F28">
        <v>1</v>
      </c>
    </row>
    <row r="29" spans="1:6">
      <c r="A29" t="s">
        <v>122</v>
      </c>
      <c r="B29" t="s">
        <v>141</v>
      </c>
      <c r="C29" t="s">
        <v>142</v>
      </c>
      <c r="D29">
        <v>2500</v>
      </c>
      <c r="E29">
        <v>0</v>
      </c>
      <c r="F29">
        <v>1</v>
      </c>
    </row>
    <row r="30" spans="1:6">
      <c r="A30" t="s">
        <v>122</v>
      </c>
      <c r="B30" t="s">
        <v>143</v>
      </c>
      <c r="C30" t="s">
        <v>144</v>
      </c>
      <c r="D30">
        <v>1800</v>
      </c>
      <c r="E30">
        <v>0</v>
      </c>
      <c r="F30">
        <v>1</v>
      </c>
    </row>
    <row r="31" spans="1:6">
      <c r="A31" t="s">
        <v>122</v>
      </c>
      <c r="B31" t="s">
        <v>145</v>
      </c>
      <c r="C31" t="s">
        <v>146</v>
      </c>
      <c r="D31">
        <v>2000</v>
      </c>
      <c r="E31">
        <v>0</v>
      </c>
      <c r="F31">
        <v>1</v>
      </c>
    </row>
    <row r="32" spans="1:6">
      <c r="A32" t="s">
        <v>122</v>
      </c>
      <c r="B32" t="s">
        <v>110</v>
      </c>
      <c r="C32" t="s">
        <v>147</v>
      </c>
      <c r="D32">
        <v>3000</v>
      </c>
      <c r="E32">
        <v>0</v>
      </c>
      <c r="F32">
        <v>2</v>
      </c>
    </row>
    <row r="33" spans="1:6">
      <c r="A33" t="s">
        <v>148</v>
      </c>
      <c r="B33" t="s">
        <v>149</v>
      </c>
      <c r="C33" t="s">
        <v>150</v>
      </c>
      <c r="D33">
        <v>300</v>
      </c>
      <c r="E33">
        <v>0</v>
      </c>
      <c r="F33">
        <v>0</v>
      </c>
    </row>
    <row r="34" spans="1:6">
      <c r="A34" t="s">
        <v>148</v>
      </c>
      <c r="B34" t="s">
        <v>151</v>
      </c>
      <c r="C34" t="s">
        <v>152</v>
      </c>
      <c r="D34">
        <v>450</v>
      </c>
      <c r="E34">
        <v>0</v>
      </c>
      <c r="F34">
        <v>0</v>
      </c>
    </row>
    <row r="35" spans="1:6">
      <c r="A35" t="s">
        <v>148</v>
      </c>
      <c r="B35" t="s">
        <v>153</v>
      </c>
      <c r="C35" t="s">
        <v>154</v>
      </c>
      <c r="D35">
        <v>600</v>
      </c>
      <c r="E35">
        <v>0</v>
      </c>
      <c r="F35">
        <v>0</v>
      </c>
    </row>
    <row r="36" spans="1:6">
      <c r="A36" t="s">
        <v>148</v>
      </c>
      <c r="B36" t="s">
        <v>155</v>
      </c>
      <c r="C36" t="s">
        <v>156</v>
      </c>
      <c r="D36">
        <v>800</v>
      </c>
      <c r="E36">
        <v>0</v>
      </c>
      <c r="F36">
        <v>0</v>
      </c>
    </row>
    <row r="37" spans="1:6">
      <c r="A37" t="s">
        <v>148</v>
      </c>
      <c r="B37" t="s">
        <v>157</v>
      </c>
      <c r="C37" t="s">
        <v>158</v>
      </c>
      <c r="D37">
        <v>1200</v>
      </c>
      <c r="E37">
        <v>0</v>
      </c>
      <c r="F37">
        <v>0</v>
      </c>
    </row>
    <row r="38" spans="1:6">
      <c r="A38" t="s">
        <v>148</v>
      </c>
      <c r="B38" t="s">
        <v>159</v>
      </c>
      <c r="C38" t="s">
        <v>160</v>
      </c>
      <c r="D38">
        <v>1800</v>
      </c>
      <c r="E38">
        <v>0</v>
      </c>
      <c r="F38">
        <v>0</v>
      </c>
    </row>
    <row r="39" spans="1:6">
      <c r="A39" t="s">
        <v>161</v>
      </c>
      <c r="B39" t="s">
        <v>162</v>
      </c>
      <c r="C39" t="s">
        <v>163</v>
      </c>
      <c r="D39">
        <v>250</v>
      </c>
      <c r="E39">
        <v>0</v>
      </c>
      <c r="F39">
        <v>0</v>
      </c>
    </row>
    <row r="40" spans="1:6">
      <c r="A40" t="s">
        <v>161</v>
      </c>
      <c r="B40" t="s">
        <v>164</v>
      </c>
      <c r="C40" t="s">
        <v>165</v>
      </c>
      <c r="D40">
        <v>400</v>
      </c>
      <c r="E40">
        <v>0</v>
      </c>
      <c r="F40">
        <v>0</v>
      </c>
    </row>
    <row r="41" spans="1:6">
      <c r="A41" t="s">
        <v>161</v>
      </c>
      <c r="B41" t="s">
        <v>166</v>
      </c>
      <c r="C41" t="s">
        <v>167</v>
      </c>
      <c r="D41">
        <v>450</v>
      </c>
      <c r="E41">
        <v>0</v>
      </c>
      <c r="F41">
        <v>0</v>
      </c>
    </row>
    <row r="42" spans="1:6">
      <c r="A42" t="s">
        <v>161</v>
      </c>
      <c r="B42" t="s">
        <v>168</v>
      </c>
      <c r="C42" t="s">
        <v>169</v>
      </c>
      <c r="D42">
        <v>600</v>
      </c>
      <c r="E42">
        <v>0</v>
      </c>
      <c r="F42">
        <v>0</v>
      </c>
    </row>
    <row r="43" spans="1:6">
      <c r="A43" t="s">
        <v>161</v>
      </c>
      <c r="B43" t="s">
        <v>170</v>
      </c>
      <c r="C43" t="s">
        <v>171</v>
      </c>
      <c r="D43">
        <v>700</v>
      </c>
      <c r="E43">
        <v>0</v>
      </c>
      <c r="F43">
        <v>0</v>
      </c>
    </row>
    <row r="44" spans="1:6">
      <c r="A44" t="s">
        <v>161</v>
      </c>
      <c r="B44" t="s">
        <v>172</v>
      </c>
      <c r="C44" t="s">
        <v>173</v>
      </c>
      <c r="D44">
        <v>800</v>
      </c>
      <c r="E44">
        <v>0</v>
      </c>
      <c r="F44">
        <v>0</v>
      </c>
    </row>
    <row r="45" spans="1:6">
      <c r="A45" t="s">
        <v>161</v>
      </c>
      <c r="B45" t="s">
        <v>174</v>
      </c>
      <c r="C45" t="s">
        <v>175</v>
      </c>
      <c r="D45">
        <v>900</v>
      </c>
      <c r="E45">
        <v>0</v>
      </c>
      <c r="F45">
        <v>0</v>
      </c>
    </row>
    <row r="46" spans="1:6">
      <c r="A46" t="s">
        <v>161</v>
      </c>
      <c r="B46" t="s">
        <v>176</v>
      </c>
      <c r="C46" t="s">
        <v>177</v>
      </c>
      <c r="D46">
        <v>1000</v>
      </c>
      <c r="E46">
        <v>0</v>
      </c>
      <c r="F46">
        <v>0</v>
      </c>
    </row>
    <row r="47" spans="1:6">
      <c r="A47" t="s">
        <v>161</v>
      </c>
      <c r="B47" t="s">
        <v>178</v>
      </c>
      <c r="C47" t="s">
        <v>179</v>
      </c>
      <c r="D47">
        <v>1200</v>
      </c>
      <c r="E47">
        <v>0</v>
      </c>
      <c r="F47">
        <v>0</v>
      </c>
    </row>
    <row r="48" spans="1:6">
      <c r="A48" t="s">
        <v>161</v>
      </c>
      <c r="B48" t="s">
        <v>180</v>
      </c>
      <c r="C48" t="s">
        <v>181</v>
      </c>
      <c r="D48">
        <v>1800</v>
      </c>
      <c r="E48">
        <v>0</v>
      </c>
      <c r="F48">
        <v>0</v>
      </c>
    </row>
    <row r="49" spans="1:6">
      <c r="A49" t="s">
        <v>161</v>
      </c>
      <c r="B49" t="s">
        <v>182</v>
      </c>
      <c r="C49" t="s">
        <v>183</v>
      </c>
      <c r="D49">
        <v>2500</v>
      </c>
      <c r="E49">
        <v>0</v>
      </c>
      <c r="F49">
        <v>0</v>
      </c>
    </row>
    <row r="50" spans="1:6">
      <c r="A50" t="s">
        <v>161</v>
      </c>
      <c r="B50" t="s">
        <v>184</v>
      </c>
      <c r="C50" t="s">
        <v>185</v>
      </c>
      <c r="D50">
        <v>4500</v>
      </c>
      <c r="E50">
        <v>0</v>
      </c>
      <c r="F50">
        <v>0</v>
      </c>
    </row>
    <row r="51" spans="1:6">
      <c r="A51" t="s">
        <v>161</v>
      </c>
      <c r="B51" t="s">
        <v>186</v>
      </c>
      <c r="C51" t="s">
        <v>187</v>
      </c>
      <c r="D51">
        <v>7500</v>
      </c>
      <c r="E51">
        <v>0</v>
      </c>
      <c r="F51">
        <v>0</v>
      </c>
    </row>
    <row r="52" spans="1:6">
      <c r="A52" t="s">
        <v>188</v>
      </c>
      <c r="B52" t="s">
        <v>189</v>
      </c>
      <c r="C52" t="s">
        <v>190</v>
      </c>
      <c r="D52">
        <v>300</v>
      </c>
      <c r="E52">
        <v>0</v>
      </c>
      <c r="F52">
        <v>0</v>
      </c>
    </row>
    <row r="53" spans="1:6">
      <c r="A53" t="s">
        <v>188</v>
      </c>
      <c r="B53" t="s">
        <v>191</v>
      </c>
      <c r="C53" t="s">
        <v>192</v>
      </c>
      <c r="D53">
        <v>350</v>
      </c>
      <c r="E53">
        <v>0</v>
      </c>
      <c r="F53">
        <v>0</v>
      </c>
    </row>
    <row r="54" spans="1:6">
      <c r="A54" t="s">
        <v>188</v>
      </c>
      <c r="B54" t="s">
        <v>193</v>
      </c>
      <c r="C54" t="s">
        <v>194</v>
      </c>
      <c r="D54">
        <v>450</v>
      </c>
      <c r="E54">
        <v>0</v>
      </c>
      <c r="F54">
        <v>0</v>
      </c>
    </row>
    <row r="55" spans="1:6">
      <c r="A55" t="s">
        <v>188</v>
      </c>
      <c r="B55" t="s">
        <v>195</v>
      </c>
      <c r="C55" t="s">
        <v>196</v>
      </c>
      <c r="D55">
        <v>600</v>
      </c>
      <c r="E55">
        <v>0</v>
      </c>
      <c r="F55">
        <v>0</v>
      </c>
    </row>
    <row r="56" spans="1:6">
      <c r="A56" t="s">
        <v>188</v>
      </c>
      <c r="B56" t="s">
        <v>197</v>
      </c>
      <c r="C56" t="s">
        <v>198</v>
      </c>
      <c r="D56">
        <v>700</v>
      </c>
      <c r="E56">
        <v>0</v>
      </c>
      <c r="F56">
        <v>0</v>
      </c>
    </row>
    <row r="57" spans="1:6">
      <c r="A57" t="s">
        <v>188</v>
      </c>
      <c r="B57" t="s">
        <v>199</v>
      </c>
      <c r="C57" t="s">
        <v>200</v>
      </c>
      <c r="D57">
        <v>800</v>
      </c>
      <c r="E57">
        <v>0</v>
      </c>
      <c r="F57">
        <v>0</v>
      </c>
    </row>
    <row r="58" spans="1:6">
      <c r="A58" t="s">
        <v>188</v>
      </c>
      <c r="B58" t="s">
        <v>201</v>
      </c>
      <c r="C58" t="s">
        <v>202</v>
      </c>
      <c r="D58">
        <v>900</v>
      </c>
      <c r="E58">
        <v>0</v>
      </c>
      <c r="F58">
        <v>0</v>
      </c>
    </row>
    <row r="59" spans="1:6">
      <c r="A59" t="s">
        <v>188</v>
      </c>
      <c r="B59" t="s">
        <v>203</v>
      </c>
      <c r="C59" t="s">
        <v>204</v>
      </c>
      <c r="D59">
        <v>1200</v>
      </c>
      <c r="E59">
        <v>0</v>
      </c>
      <c r="F59">
        <v>0</v>
      </c>
    </row>
    <row r="60" spans="1:6">
      <c r="A60" t="s">
        <v>188</v>
      </c>
      <c r="B60" t="s">
        <v>205</v>
      </c>
      <c r="C60" t="s">
        <v>206</v>
      </c>
      <c r="D60">
        <v>1400</v>
      </c>
      <c r="E60">
        <v>0</v>
      </c>
      <c r="F60">
        <v>0</v>
      </c>
    </row>
    <row r="61" spans="1:6">
      <c r="A61" t="s">
        <v>188</v>
      </c>
      <c r="B61" t="s">
        <v>207</v>
      </c>
      <c r="C61" t="s">
        <v>208</v>
      </c>
      <c r="D61">
        <v>1800</v>
      </c>
      <c r="E61">
        <v>0</v>
      </c>
      <c r="F61">
        <v>0</v>
      </c>
    </row>
    <row r="62" spans="1:6">
      <c r="A62" t="s">
        <v>188</v>
      </c>
      <c r="B62" t="s">
        <v>209</v>
      </c>
      <c r="C62" t="s">
        <v>210</v>
      </c>
      <c r="D62">
        <v>2200</v>
      </c>
      <c r="E62">
        <v>0</v>
      </c>
      <c r="F62">
        <v>0</v>
      </c>
    </row>
    <row r="63" spans="1:6">
      <c r="A63" t="s">
        <v>188</v>
      </c>
      <c r="B63" t="s">
        <v>211</v>
      </c>
      <c r="C63" t="s">
        <v>212</v>
      </c>
      <c r="D63">
        <v>2500</v>
      </c>
      <c r="E63">
        <v>0</v>
      </c>
      <c r="F63">
        <v>0</v>
      </c>
    </row>
    <row r="64" spans="1:6">
      <c r="A64" t="s">
        <v>188</v>
      </c>
      <c r="B64" t="s">
        <v>213</v>
      </c>
      <c r="C64" t="s">
        <v>214</v>
      </c>
      <c r="D64">
        <v>2800</v>
      </c>
      <c r="E64">
        <v>0</v>
      </c>
      <c r="F64">
        <v>0</v>
      </c>
    </row>
    <row r="65" spans="1:6">
      <c r="A65" t="s">
        <v>188</v>
      </c>
      <c r="B65" t="s">
        <v>215</v>
      </c>
      <c r="C65" t="s">
        <v>216</v>
      </c>
      <c r="D65">
        <v>4500</v>
      </c>
      <c r="E65">
        <v>0</v>
      </c>
      <c r="F65">
        <v>0</v>
      </c>
    </row>
    <row r="66" spans="1:6">
      <c r="A66" t="s">
        <v>188</v>
      </c>
      <c r="B66" t="s">
        <v>217</v>
      </c>
      <c r="C66" t="s">
        <v>218</v>
      </c>
      <c r="D66">
        <v>5000</v>
      </c>
      <c r="E66">
        <v>0</v>
      </c>
      <c r="F66">
        <v>0</v>
      </c>
    </row>
    <row r="67" spans="1:6">
      <c r="A67" t="s">
        <v>188</v>
      </c>
      <c r="B67" t="s">
        <v>219</v>
      </c>
      <c r="C67" t="s">
        <v>220</v>
      </c>
      <c r="D67">
        <v>6000</v>
      </c>
      <c r="E67">
        <v>0</v>
      </c>
      <c r="F67">
        <v>0</v>
      </c>
    </row>
    <row r="68" spans="1:6">
      <c r="A68" t="s">
        <v>188</v>
      </c>
      <c r="B68" t="s">
        <v>221</v>
      </c>
      <c r="C68" t="s">
        <v>222</v>
      </c>
      <c r="D68">
        <v>7500</v>
      </c>
      <c r="E68">
        <v>0</v>
      </c>
      <c r="F68">
        <v>0</v>
      </c>
    </row>
    <row r="69" spans="1:6">
      <c r="A69" t="s">
        <v>223</v>
      </c>
      <c r="B69" t="s">
        <v>224</v>
      </c>
      <c r="C69" t="s">
        <v>225</v>
      </c>
      <c r="D69">
        <v>300</v>
      </c>
      <c r="E69">
        <v>0</v>
      </c>
      <c r="F69">
        <v>0</v>
      </c>
    </row>
    <row r="70" spans="1:6">
      <c r="A70" t="s">
        <v>223</v>
      </c>
      <c r="B70" t="s">
        <v>226</v>
      </c>
      <c r="C70" t="s">
        <v>227</v>
      </c>
      <c r="D70">
        <v>350</v>
      </c>
      <c r="E70">
        <v>0</v>
      </c>
      <c r="F70">
        <v>0</v>
      </c>
    </row>
    <row r="71" spans="1:6">
      <c r="A71" t="s">
        <v>223</v>
      </c>
      <c r="B71" t="s">
        <v>228</v>
      </c>
      <c r="C71" t="s">
        <v>229</v>
      </c>
      <c r="D71">
        <v>400</v>
      </c>
      <c r="E71">
        <v>0</v>
      </c>
      <c r="F71">
        <v>0</v>
      </c>
    </row>
    <row r="72" spans="1:6">
      <c r="A72" t="s">
        <v>223</v>
      </c>
      <c r="B72" t="s">
        <v>230</v>
      </c>
      <c r="C72" t="s">
        <v>196</v>
      </c>
      <c r="D72">
        <v>450</v>
      </c>
      <c r="E72">
        <v>0</v>
      </c>
      <c r="F72">
        <v>0</v>
      </c>
    </row>
    <row r="73" spans="1:6">
      <c r="A73" t="s">
        <v>223</v>
      </c>
      <c r="B73" t="s">
        <v>231</v>
      </c>
      <c r="C73" t="s">
        <v>232</v>
      </c>
      <c r="D73">
        <v>600</v>
      </c>
      <c r="E73">
        <v>0</v>
      </c>
      <c r="F73">
        <v>0</v>
      </c>
    </row>
    <row r="74" spans="1:6">
      <c r="A74" t="s">
        <v>223</v>
      </c>
      <c r="B74" t="s">
        <v>233</v>
      </c>
      <c r="C74" t="s">
        <v>234</v>
      </c>
      <c r="D74">
        <v>650</v>
      </c>
      <c r="E74">
        <v>0</v>
      </c>
      <c r="F74">
        <v>0</v>
      </c>
    </row>
    <row r="75" spans="1:6">
      <c r="A75" t="s">
        <v>223</v>
      </c>
      <c r="B75" t="s">
        <v>235</v>
      </c>
      <c r="C75" t="s">
        <v>236</v>
      </c>
      <c r="D75">
        <v>750</v>
      </c>
      <c r="E75">
        <v>0</v>
      </c>
      <c r="F75">
        <v>0</v>
      </c>
    </row>
    <row r="76" spans="1:6">
      <c r="A76" t="s">
        <v>223</v>
      </c>
      <c r="B76" t="s">
        <v>237</v>
      </c>
      <c r="C76" t="s">
        <v>238</v>
      </c>
      <c r="D76">
        <v>900</v>
      </c>
      <c r="E76">
        <v>0</v>
      </c>
      <c r="F76">
        <v>0</v>
      </c>
    </row>
    <row r="77" spans="1:6">
      <c r="A77" t="s">
        <v>223</v>
      </c>
      <c r="B77" t="s">
        <v>239</v>
      </c>
      <c r="C77" t="s">
        <v>240</v>
      </c>
      <c r="D77">
        <v>1200</v>
      </c>
      <c r="E77">
        <v>0</v>
      </c>
      <c r="F77">
        <v>0</v>
      </c>
    </row>
    <row r="78" spans="1:6">
      <c r="A78" t="s">
        <v>223</v>
      </c>
      <c r="B78" t="s">
        <v>241</v>
      </c>
      <c r="C78" t="s">
        <v>242</v>
      </c>
      <c r="D78">
        <v>1500</v>
      </c>
      <c r="E78">
        <v>0</v>
      </c>
      <c r="F78">
        <v>0</v>
      </c>
    </row>
    <row r="79" spans="1:6">
      <c r="A79" t="s">
        <v>223</v>
      </c>
      <c r="B79" t="s">
        <v>243</v>
      </c>
      <c r="C79" t="s">
        <v>244</v>
      </c>
      <c r="D79">
        <v>2000</v>
      </c>
      <c r="E79">
        <v>0</v>
      </c>
      <c r="F79">
        <v>0</v>
      </c>
    </row>
    <row r="80" spans="1:6">
      <c r="A80" t="s">
        <v>223</v>
      </c>
      <c r="B80" t="s">
        <v>245</v>
      </c>
      <c r="C80" t="s">
        <v>246</v>
      </c>
      <c r="D80">
        <v>4500</v>
      </c>
      <c r="E80">
        <v>0</v>
      </c>
      <c r="F80">
        <v>0</v>
      </c>
    </row>
    <row r="81" spans="1:6">
      <c r="A81" t="s">
        <v>223</v>
      </c>
      <c r="B81" t="s">
        <v>247</v>
      </c>
      <c r="C81" t="s">
        <v>248</v>
      </c>
      <c r="D81">
        <v>6000</v>
      </c>
      <c r="E81">
        <v>0</v>
      </c>
      <c r="F81">
        <v>0</v>
      </c>
    </row>
    <row r="82" spans="1:6">
      <c r="A82" t="s">
        <v>249</v>
      </c>
      <c r="B82" t="s">
        <v>250</v>
      </c>
      <c r="C82" t="s">
        <v>251</v>
      </c>
      <c r="D82">
        <v>300</v>
      </c>
      <c r="E82">
        <v>0</v>
      </c>
      <c r="F82">
        <v>0</v>
      </c>
    </row>
    <row r="83" spans="1:6">
      <c r="A83" t="s">
        <v>249</v>
      </c>
      <c r="B83" t="s">
        <v>252</v>
      </c>
      <c r="C83" t="s">
        <v>253</v>
      </c>
      <c r="D83">
        <v>400</v>
      </c>
      <c r="E83">
        <v>0</v>
      </c>
      <c r="F83">
        <v>0</v>
      </c>
    </row>
    <row r="84" spans="1:6">
      <c r="A84" t="s">
        <v>249</v>
      </c>
      <c r="B84" t="s">
        <v>254</v>
      </c>
      <c r="C84" t="s">
        <v>255</v>
      </c>
      <c r="D84">
        <v>600</v>
      </c>
      <c r="E84">
        <v>0</v>
      </c>
      <c r="F84">
        <v>0</v>
      </c>
    </row>
    <row r="85" spans="1:6">
      <c r="A85" t="s">
        <v>249</v>
      </c>
      <c r="B85" t="s">
        <v>256</v>
      </c>
      <c r="C85" t="s">
        <v>257</v>
      </c>
      <c r="D85">
        <v>700</v>
      </c>
      <c r="E85">
        <v>0</v>
      </c>
      <c r="F85">
        <v>0</v>
      </c>
    </row>
    <row r="86" spans="1:6">
      <c r="A86" t="s">
        <v>249</v>
      </c>
      <c r="B86" t="s">
        <v>258</v>
      </c>
      <c r="C86" t="s">
        <v>259</v>
      </c>
      <c r="D86">
        <v>850</v>
      </c>
      <c r="E86">
        <v>0</v>
      </c>
      <c r="F86">
        <v>0</v>
      </c>
    </row>
    <row r="87" spans="1:6">
      <c r="A87" t="s">
        <v>249</v>
      </c>
      <c r="B87" t="s">
        <v>260</v>
      </c>
      <c r="C87" t="s">
        <v>261</v>
      </c>
      <c r="D87">
        <v>1100</v>
      </c>
      <c r="E87">
        <v>0</v>
      </c>
      <c r="F87">
        <v>0</v>
      </c>
    </row>
    <row r="88" spans="1:6">
      <c r="A88" t="s">
        <v>249</v>
      </c>
      <c r="B88" t="s">
        <v>262</v>
      </c>
      <c r="C88" t="s">
        <v>263</v>
      </c>
      <c r="D88">
        <v>1300</v>
      </c>
      <c r="E88">
        <v>0</v>
      </c>
      <c r="F88">
        <v>0</v>
      </c>
    </row>
    <row r="89" spans="1:6">
      <c r="A89" t="s">
        <v>249</v>
      </c>
      <c r="B89" t="s">
        <v>264</v>
      </c>
      <c r="C89" t="s">
        <v>204</v>
      </c>
      <c r="D89">
        <v>1600</v>
      </c>
      <c r="E89">
        <v>0</v>
      </c>
      <c r="F89">
        <v>0</v>
      </c>
    </row>
    <row r="90" spans="1:6">
      <c r="A90" t="s">
        <v>249</v>
      </c>
      <c r="B90" t="s">
        <v>265</v>
      </c>
      <c r="C90" t="s">
        <v>266</v>
      </c>
      <c r="D90">
        <v>1900</v>
      </c>
      <c r="E90">
        <v>0</v>
      </c>
      <c r="F90">
        <v>0</v>
      </c>
    </row>
    <row r="91" spans="1:6">
      <c r="A91" t="s">
        <v>249</v>
      </c>
      <c r="B91" t="s">
        <v>267</v>
      </c>
      <c r="C91" t="s">
        <v>268</v>
      </c>
      <c r="D91">
        <v>2200</v>
      </c>
      <c r="E91">
        <v>0</v>
      </c>
      <c r="F91">
        <v>0</v>
      </c>
    </row>
    <row r="92" spans="1:6">
      <c r="A92" t="s">
        <v>249</v>
      </c>
      <c r="B92" t="s">
        <v>269</v>
      </c>
      <c r="C92" t="s">
        <v>270</v>
      </c>
      <c r="D92">
        <v>2600</v>
      </c>
      <c r="E92">
        <v>0</v>
      </c>
      <c r="F92">
        <v>0</v>
      </c>
    </row>
    <row r="93" spans="1:6">
      <c r="A93" t="s">
        <v>249</v>
      </c>
      <c r="B93" t="s">
        <v>271</v>
      </c>
      <c r="C93" t="s">
        <v>272</v>
      </c>
      <c r="D93">
        <v>4500</v>
      </c>
      <c r="E93">
        <v>0</v>
      </c>
      <c r="F93">
        <v>0</v>
      </c>
    </row>
    <row r="94" spans="1:6">
      <c r="A94" t="s">
        <v>249</v>
      </c>
      <c r="B94" t="s">
        <v>273</v>
      </c>
      <c r="C94" t="s">
        <v>274</v>
      </c>
      <c r="D94">
        <v>5000</v>
      </c>
      <c r="E94">
        <v>0</v>
      </c>
      <c r="F94">
        <v>0</v>
      </c>
    </row>
    <row r="95" spans="1:6">
      <c r="A95" t="s">
        <v>249</v>
      </c>
      <c r="B95" t="s">
        <v>275</v>
      </c>
      <c r="C95" t="s">
        <v>276</v>
      </c>
      <c r="D95">
        <v>6000</v>
      </c>
      <c r="E95">
        <v>0</v>
      </c>
      <c r="F95">
        <v>0</v>
      </c>
    </row>
    <row r="96" spans="1:6">
      <c r="A96" t="s">
        <v>249</v>
      </c>
      <c r="B96" t="s">
        <v>277</v>
      </c>
      <c r="C96" t="s">
        <v>278</v>
      </c>
      <c r="D96">
        <v>7500</v>
      </c>
      <c r="E96">
        <v>0</v>
      </c>
      <c r="F96">
        <v>0</v>
      </c>
    </row>
    <row r="97" spans="1:6">
      <c r="A97" t="s">
        <v>279</v>
      </c>
      <c r="B97" t="s">
        <v>280</v>
      </c>
      <c r="C97" t="s">
        <v>281</v>
      </c>
      <c r="D97">
        <v>350</v>
      </c>
      <c r="E97">
        <v>0</v>
      </c>
      <c r="F97">
        <v>0</v>
      </c>
    </row>
    <row r="98" spans="1:6">
      <c r="A98" t="s">
        <v>279</v>
      </c>
      <c r="B98" t="s">
        <v>282</v>
      </c>
      <c r="C98" t="s">
        <v>283</v>
      </c>
      <c r="D98">
        <v>450</v>
      </c>
      <c r="E98">
        <v>0</v>
      </c>
      <c r="F98">
        <v>0</v>
      </c>
    </row>
    <row r="99" spans="1:6">
      <c r="A99" t="s">
        <v>279</v>
      </c>
      <c r="B99" t="s">
        <v>284</v>
      </c>
      <c r="C99" t="s">
        <v>285</v>
      </c>
      <c r="D99">
        <v>600</v>
      </c>
      <c r="E99">
        <v>0</v>
      </c>
      <c r="F99">
        <v>0</v>
      </c>
    </row>
    <row r="100" spans="1:6">
      <c r="A100" t="s">
        <v>279</v>
      </c>
      <c r="B100" t="s">
        <v>286</v>
      </c>
      <c r="C100" t="s">
        <v>287</v>
      </c>
      <c r="D100">
        <v>750</v>
      </c>
      <c r="E100">
        <v>0</v>
      </c>
      <c r="F100">
        <v>0</v>
      </c>
    </row>
    <row r="101" spans="1:6">
      <c r="A101" t="s">
        <v>279</v>
      </c>
      <c r="B101" t="s">
        <v>288</v>
      </c>
      <c r="C101" t="s">
        <v>289</v>
      </c>
      <c r="D101">
        <v>1600</v>
      </c>
      <c r="E101">
        <v>0</v>
      </c>
      <c r="F101">
        <v>0</v>
      </c>
    </row>
    <row r="102" spans="1:6">
      <c r="A102" t="s">
        <v>279</v>
      </c>
      <c r="B102" t="s">
        <v>290</v>
      </c>
      <c r="C102" t="s">
        <v>291</v>
      </c>
      <c r="D102">
        <v>2600</v>
      </c>
      <c r="E102">
        <v>0</v>
      </c>
      <c r="F102">
        <v>0</v>
      </c>
    </row>
    <row r="103" spans="1:6">
      <c r="A103" t="s">
        <v>279</v>
      </c>
      <c r="B103" t="s">
        <v>292</v>
      </c>
      <c r="C103" t="s">
        <v>293</v>
      </c>
      <c r="D103">
        <v>300</v>
      </c>
      <c r="E103">
        <v>0</v>
      </c>
      <c r="F103">
        <v>0</v>
      </c>
    </row>
    <row r="104" spans="1:6">
      <c r="A104" t="s">
        <v>279</v>
      </c>
      <c r="B104" t="s">
        <v>294</v>
      </c>
      <c r="C104" t="s">
        <v>295</v>
      </c>
      <c r="D104">
        <v>400</v>
      </c>
      <c r="E104">
        <v>0</v>
      </c>
      <c r="F104">
        <v>0</v>
      </c>
    </row>
    <row r="105" spans="1:6">
      <c r="A105" t="s">
        <v>279</v>
      </c>
      <c r="B105" t="s">
        <v>296</v>
      </c>
      <c r="C105" t="s">
        <v>297</v>
      </c>
      <c r="D105">
        <v>2000</v>
      </c>
      <c r="E105">
        <v>0</v>
      </c>
      <c r="F105">
        <v>0</v>
      </c>
    </row>
    <row r="106" spans="1:6">
      <c r="A106" t="s">
        <v>279</v>
      </c>
      <c r="B106" t="s">
        <v>298</v>
      </c>
      <c r="C106" t="s">
        <v>299</v>
      </c>
      <c r="D106">
        <v>2400</v>
      </c>
      <c r="E106">
        <v>0</v>
      </c>
      <c r="F106">
        <v>0</v>
      </c>
    </row>
    <row r="107" spans="1:6">
      <c r="A107" t="s">
        <v>279</v>
      </c>
      <c r="B107" t="s">
        <v>300</v>
      </c>
      <c r="C107" t="s">
        <v>301</v>
      </c>
      <c r="D107">
        <v>6000</v>
      </c>
      <c r="E107">
        <v>0</v>
      </c>
      <c r="F107">
        <v>0</v>
      </c>
    </row>
    <row r="108" spans="1:6">
      <c r="A108" t="s">
        <v>279</v>
      </c>
      <c r="B108" t="s">
        <v>302</v>
      </c>
      <c r="C108" t="s">
        <v>303</v>
      </c>
      <c r="D108">
        <v>250</v>
      </c>
      <c r="E108">
        <v>0</v>
      </c>
      <c r="F108">
        <v>0</v>
      </c>
    </row>
    <row r="109" spans="1:6">
      <c r="A109" t="s">
        <v>279</v>
      </c>
      <c r="B109" t="s">
        <v>304</v>
      </c>
      <c r="C109" t="s">
        <v>305</v>
      </c>
      <c r="D109">
        <v>650</v>
      </c>
      <c r="E109">
        <v>0</v>
      </c>
      <c r="F109">
        <v>0</v>
      </c>
    </row>
    <row r="110" spans="1:6">
      <c r="A110" t="s">
        <v>279</v>
      </c>
      <c r="B110" t="s">
        <v>306</v>
      </c>
      <c r="C110" t="s">
        <v>307</v>
      </c>
      <c r="D110">
        <v>1400</v>
      </c>
      <c r="E110">
        <v>0</v>
      </c>
      <c r="F110">
        <v>0</v>
      </c>
    </row>
    <row r="111" spans="1:6">
      <c r="A111" t="s">
        <v>279</v>
      </c>
      <c r="B111" t="s">
        <v>308</v>
      </c>
      <c r="C111" t="s">
        <v>309</v>
      </c>
      <c r="D111">
        <v>500</v>
      </c>
      <c r="E111">
        <v>0</v>
      </c>
      <c r="F111">
        <v>0</v>
      </c>
    </row>
    <row r="112" spans="1:6">
      <c r="A112" t="s">
        <v>279</v>
      </c>
      <c r="B112" t="s">
        <v>310</v>
      </c>
      <c r="C112" t="s">
        <v>311</v>
      </c>
      <c r="D112">
        <v>2400</v>
      </c>
      <c r="E112">
        <v>0</v>
      </c>
      <c r="F112">
        <v>0</v>
      </c>
    </row>
    <row r="113" spans="1:6">
      <c r="A113" t="s">
        <v>279</v>
      </c>
      <c r="B113" t="s">
        <v>312</v>
      </c>
      <c r="C113" t="s">
        <v>313</v>
      </c>
      <c r="D113">
        <v>4800</v>
      </c>
      <c r="E113">
        <v>0</v>
      </c>
      <c r="F113">
        <v>0</v>
      </c>
    </row>
    <row r="114" spans="1:6">
      <c r="A114" t="s">
        <v>279</v>
      </c>
      <c r="B114" t="s">
        <v>314</v>
      </c>
      <c r="C114" t="s">
        <v>315</v>
      </c>
      <c r="D114">
        <v>300</v>
      </c>
      <c r="E114">
        <v>0</v>
      </c>
      <c r="F114">
        <v>0</v>
      </c>
    </row>
    <row r="115" spans="1:6">
      <c r="A115" t="s">
        <v>279</v>
      </c>
      <c r="B115" t="s">
        <v>316</v>
      </c>
      <c r="C115" t="s">
        <v>317</v>
      </c>
      <c r="D115">
        <v>800</v>
      </c>
      <c r="E115">
        <v>0</v>
      </c>
      <c r="F115">
        <v>0</v>
      </c>
    </row>
    <row r="116" spans="1:6">
      <c r="A116" t="s">
        <v>279</v>
      </c>
      <c r="B116" t="s">
        <v>318</v>
      </c>
      <c r="C116" t="s">
        <v>319</v>
      </c>
      <c r="D116">
        <v>1800</v>
      </c>
      <c r="E116">
        <v>0</v>
      </c>
      <c r="F116">
        <v>0</v>
      </c>
    </row>
    <row r="117" spans="1:6">
      <c r="A117" t="s">
        <v>279</v>
      </c>
      <c r="B117" t="s">
        <v>320</v>
      </c>
      <c r="C117" t="s">
        <v>321</v>
      </c>
      <c r="D117">
        <v>500</v>
      </c>
      <c r="E117">
        <v>0</v>
      </c>
      <c r="F117">
        <v>0</v>
      </c>
    </row>
    <row r="118" spans="1:6">
      <c r="A118" t="s">
        <v>279</v>
      </c>
      <c r="B118" t="s">
        <v>322</v>
      </c>
      <c r="C118" t="s">
        <v>323</v>
      </c>
      <c r="D118">
        <v>900</v>
      </c>
      <c r="E118">
        <v>0</v>
      </c>
      <c r="F118">
        <v>0</v>
      </c>
    </row>
    <row r="119" spans="1:6">
      <c r="A119" t="s">
        <v>279</v>
      </c>
      <c r="B119" t="s">
        <v>324</v>
      </c>
      <c r="C119" t="s">
        <v>325</v>
      </c>
      <c r="D119">
        <v>1500</v>
      </c>
      <c r="E119">
        <v>0</v>
      </c>
      <c r="F119">
        <v>0</v>
      </c>
    </row>
    <row r="120" spans="1:6">
      <c r="A120" t="s">
        <v>326</v>
      </c>
      <c r="B120" t="s">
        <v>327</v>
      </c>
      <c r="C120" t="s">
        <v>328</v>
      </c>
      <c r="D120">
        <v>300</v>
      </c>
      <c r="E120">
        <v>0</v>
      </c>
      <c r="F120">
        <v>0</v>
      </c>
    </row>
    <row r="121" spans="1:6">
      <c r="A121" t="s">
        <v>326</v>
      </c>
      <c r="B121" t="s">
        <v>329</v>
      </c>
      <c r="C121" t="s">
        <v>330</v>
      </c>
      <c r="D121">
        <v>450</v>
      </c>
      <c r="E121">
        <v>0</v>
      </c>
      <c r="F121">
        <v>0</v>
      </c>
    </row>
    <row r="122" spans="1:6">
      <c r="A122" t="s">
        <v>326</v>
      </c>
      <c r="B122" t="s">
        <v>331</v>
      </c>
      <c r="C122" t="s">
        <v>332</v>
      </c>
      <c r="D122">
        <v>800</v>
      </c>
      <c r="E122">
        <v>0</v>
      </c>
      <c r="F122">
        <v>0</v>
      </c>
    </row>
    <row r="123" spans="1:6">
      <c r="A123" t="s">
        <v>326</v>
      </c>
      <c r="B123" t="s">
        <v>333</v>
      </c>
      <c r="C123" t="s">
        <v>334</v>
      </c>
      <c r="D123">
        <v>1500</v>
      </c>
      <c r="E123">
        <v>0</v>
      </c>
      <c r="F123">
        <v>0</v>
      </c>
    </row>
    <row r="124" spans="1:6">
      <c r="A124" t="s">
        <v>326</v>
      </c>
      <c r="B124" t="s">
        <v>335</v>
      </c>
      <c r="C124" t="s">
        <v>336</v>
      </c>
      <c r="D124">
        <v>300</v>
      </c>
      <c r="E124">
        <v>0</v>
      </c>
      <c r="F124">
        <v>0</v>
      </c>
    </row>
    <row r="125" spans="1:6">
      <c r="A125" t="s">
        <v>326</v>
      </c>
      <c r="B125" t="s">
        <v>337</v>
      </c>
      <c r="C125" t="s">
        <v>338</v>
      </c>
      <c r="D125">
        <v>600</v>
      </c>
      <c r="E125">
        <v>0</v>
      </c>
      <c r="F125">
        <v>0</v>
      </c>
    </row>
    <row r="126" spans="1:6">
      <c r="A126" t="s">
        <v>326</v>
      </c>
      <c r="B126" t="s">
        <v>339</v>
      </c>
      <c r="C126" t="s">
        <v>340</v>
      </c>
      <c r="D126">
        <v>900</v>
      </c>
      <c r="E126">
        <v>0</v>
      </c>
      <c r="F126">
        <v>0</v>
      </c>
    </row>
    <row r="127" spans="1:6">
      <c r="A127" t="s">
        <v>326</v>
      </c>
      <c r="B127" t="s">
        <v>341</v>
      </c>
      <c r="C127" t="s">
        <v>342</v>
      </c>
      <c r="D127">
        <v>2000</v>
      </c>
      <c r="E127">
        <v>0</v>
      </c>
      <c r="F127">
        <v>0</v>
      </c>
    </row>
    <row r="128" spans="1:6">
      <c r="A128" t="s">
        <v>326</v>
      </c>
      <c r="B128" t="s">
        <v>343</v>
      </c>
      <c r="C128" t="s">
        <v>344</v>
      </c>
      <c r="D128">
        <v>250</v>
      </c>
      <c r="E128">
        <v>0</v>
      </c>
      <c r="F128">
        <v>0</v>
      </c>
    </row>
    <row r="129" spans="1:6">
      <c r="A129" t="s">
        <v>326</v>
      </c>
      <c r="B129" t="s">
        <v>345</v>
      </c>
      <c r="C129" t="s">
        <v>346</v>
      </c>
      <c r="D129">
        <v>400</v>
      </c>
      <c r="E129">
        <v>0</v>
      </c>
      <c r="F129">
        <v>0</v>
      </c>
    </row>
    <row r="130" spans="1:6">
      <c r="A130" t="s">
        <v>326</v>
      </c>
      <c r="B130" t="s">
        <v>347</v>
      </c>
      <c r="C130" t="s">
        <v>348</v>
      </c>
      <c r="D130">
        <v>700</v>
      </c>
      <c r="E130">
        <v>0</v>
      </c>
      <c r="F130">
        <v>0</v>
      </c>
    </row>
    <row r="131" spans="1:6">
      <c r="A131" t="s">
        <v>326</v>
      </c>
      <c r="B131" t="s">
        <v>349</v>
      </c>
      <c r="C131" t="s">
        <v>350</v>
      </c>
      <c r="D131">
        <v>1200</v>
      </c>
      <c r="E131">
        <v>0</v>
      </c>
      <c r="F131">
        <v>0</v>
      </c>
    </row>
    <row r="132" spans="1:6">
      <c r="A132" t="s">
        <v>326</v>
      </c>
      <c r="B132" t="s">
        <v>351</v>
      </c>
      <c r="C132" t="s">
        <v>352</v>
      </c>
      <c r="D132">
        <v>600</v>
      </c>
      <c r="E132">
        <v>0</v>
      </c>
      <c r="F132">
        <v>0</v>
      </c>
    </row>
    <row r="133" spans="1:6">
      <c r="A133" t="s">
        <v>326</v>
      </c>
      <c r="B133" t="s">
        <v>353</v>
      </c>
      <c r="C133" t="s">
        <v>354</v>
      </c>
      <c r="D133">
        <v>1800</v>
      </c>
      <c r="E133">
        <v>0</v>
      </c>
      <c r="F133">
        <v>0</v>
      </c>
    </row>
    <row r="134" spans="1:6">
      <c r="A134" t="s">
        <v>326</v>
      </c>
      <c r="B134" t="s">
        <v>355</v>
      </c>
      <c r="C134" t="s">
        <v>194</v>
      </c>
      <c r="D134">
        <v>600</v>
      </c>
      <c r="E134">
        <v>0</v>
      </c>
      <c r="F134">
        <v>0</v>
      </c>
    </row>
    <row r="135" spans="1:6">
      <c r="A135" t="s">
        <v>326</v>
      </c>
      <c r="B135" t="s">
        <v>356</v>
      </c>
      <c r="C135" t="s">
        <v>357</v>
      </c>
      <c r="D135">
        <v>2000</v>
      </c>
      <c r="E135">
        <v>0</v>
      </c>
      <c r="F135">
        <v>0</v>
      </c>
    </row>
    <row r="136" spans="1:6">
      <c r="A136" t="s">
        <v>326</v>
      </c>
      <c r="B136" t="s">
        <v>358</v>
      </c>
      <c r="C136" t="s">
        <v>359</v>
      </c>
      <c r="D136">
        <v>4500</v>
      </c>
      <c r="E136">
        <v>0</v>
      </c>
      <c r="F136">
        <v>0</v>
      </c>
    </row>
    <row r="137" spans="1:6">
      <c r="A137" t="s">
        <v>326</v>
      </c>
      <c r="B137" t="s">
        <v>360</v>
      </c>
      <c r="C137" t="s">
        <v>361</v>
      </c>
      <c r="D137">
        <v>700</v>
      </c>
      <c r="E137">
        <v>0</v>
      </c>
      <c r="F137">
        <v>0</v>
      </c>
    </row>
    <row r="138" spans="1:6">
      <c r="A138" t="s">
        <v>326</v>
      </c>
      <c r="B138" t="s">
        <v>362</v>
      </c>
      <c r="C138" t="s">
        <v>363</v>
      </c>
      <c r="D138">
        <v>2500</v>
      </c>
      <c r="E138">
        <v>0</v>
      </c>
      <c r="F138">
        <v>0</v>
      </c>
    </row>
    <row r="139" spans="1:6">
      <c r="A139" t="s">
        <v>326</v>
      </c>
      <c r="B139" t="s">
        <v>364</v>
      </c>
      <c r="C139" t="s">
        <v>365</v>
      </c>
      <c r="D139">
        <v>1500</v>
      </c>
      <c r="E139">
        <v>0</v>
      </c>
      <c r="F139">
        <v>0</v>
      </c>
    </row>
    <row r="140" spans="1:6">
      <c r="A140" t="s">
        <v>326</v>
      </c>
      <c r="B140" t="s">
        <v>366</v>
      </c>
      <c r="C140" t="s">
        <v>367</v>
      </c>
      <c r="D140">
        <v>2500</v>
      </c>
      <c r="E140">
        <v>0</v>
      </c>
      <c r="F140">
        <v>0</v>
      </c>
    </row>
    <row r="141" spans="1:6">
      <c r="A141" t="s">
        <v>326</v>
      </c>
      <c r="B141" t="s">
        <v>368</v>
      </c>
      <c r="C141" t="s">
        <v>369</v>
      </c>
      <c r="D141">
        <v>5000</v>
      </c>
      <c r="E141">
        <v>0</v>
      </c>
      <c r="F141">
        <v>0</v>
      </c>
    </row>
    <row r="142" spans="1:6">
      <c r="A142" t="s">
        <v>370</v>
      </c>
      <c r="B142" t="s">
        <v>371</v>
      </c>
      <c r="C142" t="s">
        <v>372</v>
      </c>
      <c r="D142">
        <v>0</v>
      </c>
      <c r="E142">
        <v>200</v>
      </c>
      <c r="F142">
        <v>0</v>
      </c>
    </row>
    <row r="143" spans="1:6">
      <c r="A143" t="s">
        <v>370</v>
      </c>
      <c r="B143" t="s">
        <v>373</v>
      </c>
      <c r="C143" t="s">
        <v>374</v>
      </c>
      <c r="D143">
        <v>0</v>
      </c>
      <c r="E143">
        <v>500</v>
      </c>
      <c r="F143">
        <v>0</v>
      </c>
    </row>
    <row r="144" spans="1:6">
      <c r="A144" t="s">
        <v>370</v>
      </c>
      <c r="B144" t="s">
        <v>375</v>
      </c>
      <c r="C144" t="s">
        <v>376</v>
      </c>
      <c r="D144">
        <v>0</v>
      </c>
      <c r="E144">
        <v>1000</v>
      </c>
      <c r="F144">
        <v>0</v>
      </c>
    </row>
    <row r="145" spans="1:6">
      <c r="A145" t="s">
        <v>370</v>
      </c>
      <c r="B145" t="s">
        <v>377</v>
      </c>
      <c r="C145" t="s">
        <v>377</v>
      </c>
      <c r="D145">
        <v>0</v>
      </c>
      <c r="E145">
        <v>20</v>
      </c>
      <c r="F145">
        <v>0</v>
      </c>
    </row>
    <row r="146" spans="1:6">
      <c r="A146" t="s">
        <v>370</v>
      </c>
      <c r="B146" t="s">
        <v>378</v>
      </c>
      <c r="C146" t="s">
        <v>378</v>
      </c>
      <c r="D146">
        <v>0</v>
      </c>
      <c r="E146">
        <v>30</v>
      </c>
      <c r="F146">
        <v>0</v>
      </c>
    </row>
    <row r="147" spans="1:6">
      <c r="A147" t="s">
        <v>370</v>
      </c>
      <c r="B147" t="s">
        <v>379</v>
      </c>
      <c r="C147" t="s">
        <v>379</v>
      </c>
      <c r="D147">
        <v>0</v>
      </c>
      <c r="E147">
        <v>50</v>
      </c>
      <c r="F147">
        <v>0</v>
      </c>
    </row>
    <row r="148" spans="1:6">
      <c r="A148" t="s">
        <v>370</v>
      </c>
      <c r="B148" t="s">
        <v>380</v>
      </c>
      <c r="C148" t="s">
        <v>380</v>
      </c>
      <c r="D148">
        <v>0</v>
      </c>
      <c r="E148">
        <v>600</v>
      </c>
      <c r="F148">
        <v>0</v>
      </c>
    </row>
    <row r="149" spans="1:6">
      <c r="A149" t="s">
        <v>370</v>
      </c>
      <c r="B149" t="s">
        <v>381</v>
      </c>
      <c r="C149" t="s">
        <v>381</v>
      </c>
      <c r="D149">
        <v>0</v>
      </c>
      <c r="E149">
        <v>600</v>
      </c>
      <c r="F149">
        <v>0</v>
      </c>
    </row>
    <row r="150" spans="1:6">
      <c r="A150" t="s">
        <v>370</v>
      </c>
      <c r="B150" t="s">
        <v>382</v>
      </c>
      <c r="C150" t="s">
        <v>382</v>
      </c>
      <c r="D150">
        <v>0</v>
      </c>
      <c r="E150">
        <v>15</v>
      </c>
      <c r="F150">
        <v>0</v>
      </c>
    </row>
  </sheetData>
  <autoFilter ref="A1:F150"/>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4.7109375" customWidth="1"/>
    <col min="2" max="2" width="20.7109375" customWidth="1"/>
    <col min="3" max="3" width="23.7109375" customWidth="1"/>
    <col min="4" max="4" width="17.7109375" customWidth="1"/>
    <col min="5" max="5" width="18.7109375" customWidth="1"/>
    <col min="6" max="6" width="14.7109375" customWidth="1"/>
    <col min="7" max="8" width="23.7109375" customWidth="1"/>
  </cols>
  <sheetData>
    <row r="1" spans="1:8" ht="32" customHeight="1">
      <c r="A1" s="5" t="s">
        <v>383</v>
      </c>
      <c r="B1" s="5" t="s">
        <v>384</v>
      </c>
      <c r="C1" s="5" t="s">
        <v>385</v>
      </c>
      <c r="D1" s="5" t="s">
        <v>386</v>
      </c>
      <c r="E1" s="5" t="s">
        <v>387</v>
      </c>
      <c r="F1" s="5" t="s">
        <v>39</v>
      </c>
      <c r="G1" s="5" t="s">
        <v>388</v>
      </c>
      <c r="H1" s="5" t="s">
        <v>389</v>
      </c>
    </row>
    <row r="2" spans="1:8">
      <c r="A2" t="s">
        <v>390</v>
      </c>
      <c r="B2" t="s">
        <v>391</v>
      </c>
      <c r="C2" s="9">
        <v>0.99</v>
      </c>
      <c r="D2">
        <v>100</v>
      </c>
      <c r="E2">
        <v>200</v>
      </c>
      <c r="F2">
        <v>0</v>
      </c>
      <c r="G2" s="8">
        <f>D2/C2</f>
        <v>101.01010101010101</v>
      </c>
      <c r="H2" s="8">
        <f>E2/C2</f>
        <v>202.02020202020202</v>
      </c>
    </row>
    <row r="3" spans="1:8">
      <c r="A3" t="s">
        <v>392</v>
      </c>
      <c r="B3" t="s">
        <v>391</v>
      </c>
      <c r="C3" s="9">
        <v>2.99</v>
      </c>
      <c r="D3">
        <v>330</v>
      </c>
      <c r="E3">
        <v>660</v>
      </c>
      <c r="F3">
        <v>0</v>
      </c>
      <c r="G3" s="8">
        <f>D3/C3</f>
        <v>110.36789297658862</v>
      </c>
      <c r="H3" s="8">
        <f>E3/C3</f>
        <v>220.73578595317724</v>
      </c>
    </row>
    <row r="4" spans="1:8">
      <c r="A4" t="s">
        <v>393</v>
      </c>
      <c r="B4" t="s">
        <v>391</v>
      </c>
      <c r="C4" s="9">
        <v>4.99</v>
      </c>
      <c r="D4">
        <v>600</v>
      </c>
      <c r="E4">
        <v>1200</v>
      </c>
      <c r="F4">
        <v>0</v>
      </c>
      <c r="G4" s="8">
        <f>D4/C4</f>
        <v>120.24048096192384</v>
      </c>
      <c r="H4" s="8">
        <f>E4/C4</f>
        <v>240.48096192384767</v>
      </c>
    </row>
    <row r="5" spans="1:8">
      <c r="A5" t="s">
        <v>394</v>
      </c>
      <c r="B5" t="s">
        <v>391</v>
      </c>
      <c r="C5" s="9">
        <v>9.99</v>
      </c>
      <c r="D5">
        <v>1300</v>
      </c>
      <c r="E5">
        <v>2600</v>
      </c>
      <c r="F5">
        <v>0</v>
      </c>
      <c r="G5" s="8">
        <f>D5/C5</f>
        <v>130.13013013013014</v>
      </c>
      <c r="H5" s="8">
        <f>E5/C5</f>
        <v>260.2602602602603</v>
      </c>
    </row>
    <row r="6" spans="1:8">
      <c r="A6" t="s">
        <v>395</v>
      </c>
      <c r="B6" t="s">
        <v>391</v>
      </c>
      <c r="C6" s="9">
        <v>19.99</v>
      </c>
      <c r="D6">
        <v>3000</v>
      </c>
      <c r="E6">
        <v>6000</v>
      </c>
      <c r="F6">
        <v>0</v>
      </c>
      <c r="G6" s="8">
        <f>D6/C6</f>
        <v>150.0750375187594</v>
      </c>
      <c r="H6" s="8">
        <f>E6/C6</f>
        <v>300.1500750375188</v>
      </c>
    </row>
    <row r="7" spans="1:8">
      <c r="A7" t="s">
        <v>396</v>
      </c>
      <c r="B7" t="s">
        <v>397</v>
      </c>
      <c r="C7" s="9">
        <v>1.99</v>
      </c>
      <c r="D7">
        <v>150</v>
      </c>
      <c r="E7">
        <v>150</v>
      </c>
      <c r="F7">
        <v>2000</v>
      </c>
      <c r="G7" s="8">
        <f>D7/C7</f>
        <v>75.37688442211055</v>
      </c>
      <c r="H7" s="8">
        <f>E7/C7</f>
        <v>75.37688442211055</v>
      </c>
    </row>
    <row r="8" spans="1:8">
      <c r="A8" t="s">
        <v>398</v>
      </c>
      <c r="B8" t="s">
        <v>397</v>
      </c>
      <c r="C8" s="9">
        <v>3.99</v>
      </c>
      <c r="D8">
        <v>0</v>
      </c>
      <c r="E8">
        <v>0</v>
      </c>
      <c r="F8">
        <v>0</v>
      </c>
      <c r="G8" s="8">
        <f>D8/C8</f>
        <v>0.0</v>
      </c>
      <c r="H8" s="8">
        <f>E8/C8</f>
        <v>0.0</v>
      </c>
    </row>
    <row r="9" spans="1:8">
      <c r="A9" t="s">
        <v>399</v>
      </c>
      <c r="B9" t="s">
        <v>391</v>
      </c>
      <c r="C9" s="9">
        <v>3.99</v>
      </c>
      <c r="D9">
        <v>0</v>
      </c>
      <c r="E9">
        <v>0</v>
      </c>
      <c r="F9">
        <v>0</v>
      </c>
      <c r="G9" s="8">
        <f>D9/C9</f>
        <v>0.0</v>
      </c>
      <c r="H9" s="8">
        <f>E9/C9</f>
        <v>0.0</v>
      </c>
    </row>
    <row r="10" spans="1:8">
      <c r="A10" t="s">
        <v>400</v>
      </c>
      <c r="B10" t="s">
        <v>397</v>
      </c>
      <c r="C10" s="9">
        <v>4.99</v>
      </c>
      <c r="D10">
        <v>0</v>
      </c>
      <c r="E10">
        <v>0</v>
      </c>
      <c r="F10">
        <v>0</v>
      </c>
      <c r="G10" s="8">
        <f>D10/C10</f>
        <v>0.0</v>
      </c>
      <c r="H10" s="8">
        <f>E10/C10</f>
        <v>0.0</v>
      </c>
    </row>
    <row r="11" spans="1:8">
      <c r="A11" t="s">
        <v>401</v>
      </c>
      <c r="B11" t="s">
        <v>397</v>
      </c>
      <c r="C11" s="9">
        <v>9.99</v>
      </c>
      <c r="D11">
        <v>600</v>
      </c>
      <c r="E11">
        <v>600</v>
      </c>
      <c r="F11">
        <v>0</v>
      </c>
      <c r="G11" s="8">
        <f>D11/C11</f>
        <v>60.06006006006006</v>
      </c>
      <c r="H11" s="8">
        <f>E11/C11</f>
        <v>60.06006006006006</v>
      </c>
    </row>
    <row r="14" spans="1:8">
      <c r="A14" s="3" t="s">
        <v>402</v>
      </c>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8" spans="1:8">
      <c r="A18" s="2" t="s">
        <v>403</v>
      </c>
      <c r="B18" s="2"/>
      <c r="C18" s="2"/>
      <c r="D18" s="2"/>
      <c r="E18" s="2"/>
      <c r="F18" s="2"/>
      <c r="G18" s="2"/>
      <c r="H18" s="2"/>
    </row>
    <row r="19" spans="1:8">
      <c r="A19" s="2"/>
      <c r="B19" s="2"/>
      <c r="C19" s="2"/>
      <c r="D19" s="2"/>
      <c r="E19" s="2"/>
      <c r="F19" s="2"/>
      <c r="G19" s="2"/>
      <c r="H19" s="2"/>
    </row>
  </sheetData>
  <mergeCells count="2">
    <mergeCell ref="A14:H16"/>
    <mergeCell ref="A18:H1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2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2" width="21.7109375" customWidth="1"/>
    <col min="3" max="4" width="30.7109375" customWidth="1"/>
    <col min="5" max="5" width="18.7109375" customWidth="1"/>
    <col min="6" max="6" width="55.7109375" customWidth="1"/>
  </cols>
  <sheetData>
    <row r="1" spans="1:6" ht="32" customHeight="1">
      <c r="A1" s="5" t="s">
        <v>404</v>
      </c>
      <c r="B1" s="5" t="s">
        <v>405</v>
      </c>
      <c r="C1" s="5" t="s">
        <v>406</v>
      </c>
      <c r="D1" s="5" t="s">
        <v>407</v>
      </c>
      <c r="E1" s="5" t="s">
        <v>408</v>
      </c>
      <c r="F1" s="5" t="s">
        <v>409</v>
      </c>
    </row>
    <row r="2" spans="1:6">
      <c r="A2">
        <v>8</v>
      </c>
      <c r="B2">
        <v>0</v>
      </c>
      <c r="C2">
        <v>150</v>
      </c>
      <c r="D2">
        <v>165</v>
      </c>
      <c r="F2" t="s">
        <v>410</v>
      </c>
    </row>
    <row r="3" spans="1:6">
      <c r="A3">
        <v>8</v>
      </c>
      <c r="B3">
        <v>3</v>
      </c>
      <c r="C3">
        <v>195</v>
      </c>
      <c r="D3">
        <v>215</v>
      </c>
      <c r="F3" t="s">
        <v>410</v>
      </c>
    </row>
    <row r="4" spans="1:6">
      <c r="A4">
        <v>8</v>
      </c>
      <c r="B4">
        <v>5</v>
      </c>
      <c r="C4">
        <v>225</v>
      </c>
      <c r="D4">
        <v>248</v>
      </c>
      <c r="F4" t="s">
        <v>410</v>
      </c>
    </row>
    <row r="5" spans="1:6">
      <c r="A5">
        <v>6</v>
      </c>
      <c r="B5">
        <v>0</v>
      </c>
      <c r="C5">
        <v>150</v>
      </c>
      <c r="D5">
        <v>165</v>
      </c>
      <c r="F5" t="s">
        <v>410</v>
      </c>
    </row>
    <row r="6" spans="1:6">
      <c r="A6">
        <v>6</v>
      </c>
      <c r="B6">
        <v>3</v>
      </c>
      <c r="C6">
        <v>195</v>
      </c>
      <c r="D6">
        <v>215</v>
      </c>
      <c r="F6" t="s">
        <v>410</v>
      </c>
    </row>
    <row r="7" spans="1:6">
      <c r="A7">
        <v>6</v>
      </c>
      <c r="B7">
        <v>5</v>
      </c>
      <c r="C7">
        <v>225</v>
      </c>
      <c r="D7">
        <v>248</v>
      </c>
      <c r="F7" t="s">
        <v>410</v>
      </c>
    </row>
    <row r="8" spans="1:6">
      <c r="A8">
        <v>4</v>
      </c>
      <c r="B8">
        <v>0</v>
      </c>
      <c r="C8">
        <v>230</v>
      </c>
      <c r="D8">
        <v>245</v>
      </c>
      <c r="F8" t="s">
        <v>410</v>
      </c>
    </row>
    <row r="9" spans="1:6">
      <c r="A9">
        <v>4</v>
      </c>
      <c r="B9">
        <v>3</v>
      </c>
      <c r="C9">
        <v>299</v>
      </c>
      <c r="D9">
        <v>319</v>
      </c>
      <c r="F9" t="s">
        <v>410</v>
      </c>
    </row>
    <row r="10" spans="1:6">
      <c r="A10">
        <v>4</v>
      </c>
      <c r="B10">
        <v>5</v>
      </c>
      <c r="C10">
        <v>345</v>
      </c>
      <c r="D10">
        <v>368</v>
      </c>
      <c r="F10" t="s">
        <v>410</v>
      </c>
    </row>
    <row r="11" spans="1:6">
      <c r="A11">
        <v>2</v>
      </c>
      <c r="B11">
        <v>0</v>
      </c>
      <c r="C11">
        <v>310</v>
      </c>
      <c r="D11">
        <v>325</v>
      </c>
      <c r="F11" t="s">
        <v>410</v>
      </c>
    </row>
    <row r="12" spans="1:6">
      <c r="A12">
        <v>2</v>
      </c>
      <c r="B12">
        <v>3</v>
      </c>
      <c r="C12">
        <v>403</v>
      </c>
      <c r="D12">
        <v>423</v>
      </c>
      <c r="F12" t="s">
        <v>410</v>
      </c>
    </row>
    <row r="13" spans="1:6">
      <c r="A13">
        <v>2</v>
      </c>
      <c r="B13">
        <v>5</v>
      </c>
      <c r="C13">
        <v>465</v>
      </c>
      <c r="D13">
        <v>488</v>
      </c>
      <c r="F13" t="s">
        <v>410</v>
      </c>
    </row>
    <row r="14" spans="1:6">
      <c r="A14">
        <v>1</v>
      </c>
      <c r="B14">
        <v>0</v>
      </c>
      <c r="C14">
        <v>350</v>
      </c>
      <c r="D14">
        <v>365</v>
      </c>
      <c r="F14" t="s">
        <v>410</v>
      </c>
    </row>
    <row r="15" spans="1:6">
      <c r="A15">
        <v>1</v>
      </c>
      <c r="B15">
        <v>3</v>
      </c>
      <c r="C15">
        <v>455</v>
      </c>
      <c r="D15">
        <v>475</v>
      </c>
      <c r="F15" t="s">
        <v>410</v>
      </c>
    </row>
    <row r="16" spans="1:6">
      <c r="A16">
        <v>1</v>
      </c>
      <c r="B16">
        <v>5</v>
      </c>
      <c r="C16">
        <v>525</v>
      </c>
      <c r="D16">
        <v>548</v>
      </c>
      <c r="F16" t="s">
        <v>410</v>
      </c>
    </row>
    <row r="17" spans="1:6">
      <c r="A17">
        <v>41</v>
      </c>
      <c r="B17" t="s">
        <v>411</v>
      </c>
      <c r="C17">
        <v>90.59999999999999</v>
      </c>
      <c r="D17">
        <v>75</v>
      </c>
      <c r="E17">
        <v>250</v>
      </c>
      <c r="F17" t="s">
        <v>412</v>
      </c>
    </row>
    <row r="18" spans="1:6">
      <c r="A18">
        <v>65</v>
      </c>
      <c r="B18" t="s">
        <v>411</v>
      </c>
      <c r="C18">
        <v>90.59999999999999</v>
      </c>
      <c r="D18">
        <v>75</v>
      </c>
      <c r="E18">
        <v>250</v>
      </c>
      <c r="F18" t="s">
        <v>413</v>
      </c>
    </row>
    <row r="19" spans="1:6">
      <c r="A19">
        <v>90</v>
      </c>
      <c r="B19" t="s">
        <v>411</v>
      </c>
      <c r="C19">
        <v>90.59999999999999</v>
      </c>
      <c r="D19">
        <v>75</v>
      </c>
      <c r="E19">
        <v>250</v>
      </c>
      <c r="F19" t="s">
        <v>414</v>
      </c>
    </row>
    <row r="20" spans="1:6">
      <c r="A20" t="s">
        <v>415</v>
      </c>
      <c r="B20" t="s">
        <v>416</v>
      </c>
      <c r="C20">
        <v>10</v>
      </c>
      <c r="D20" t="s">
        <v>417</v>
      </c>
      <c r="E20" t="s">
        <v>418</v>
      </c>
      <c r="F20" t="s">
        <v>419</v>
      </c>
    </row>
    <row r="21" spans="1:6">
      <c r="A21" t="s">
        <v>420</v>
      </c>
      <c r="B21" t="s">
        <v>421</v>
      </c>
      <c r="C21">
        <v>21</v>
      </c>
      <c r="D21" t="s">
        <v>422</v>
      </c>
      <c r="E21" t="s">
        <v>423</v>
      </c>
      <c r="F21" t="s">
        <v>419</v>
      </c>
    </row>
    <row r="22" spans="1:6">
      <c r="A22" t="s">
        <v>424</v>
      </c>
      <c r="B22" t="s">
        <v>425</v>
      </c>
      <c r="C22">
        <v>45</v>
      </c>
      <c r="D22" t="s">
        <v>426</v>
      </c>
      <c r="E22" t="s">
        <v>427</v>
      </c>
      <c r="F22" t="s">
        <v>419</v>
      </c>
    </row>
    <row r="25" spans="1:6">
      <c r="A25" s="3" t="s">
        <v>428</v>
      </c>
      <c r="B25" s="3"/>
      <c r="C25" s="3"/>
      <c r="D25" s="3"/>
      <c r="E25" s="3"/>
      <c r="F25" s="3"/>
    </row>
    <row r="26" spans="1:6">
      <c r="A26" s="3"/>
      <c r="B26" s="3"/>
      <c r="C26" s="3"/>
      <c r="D26" s="3"/>
      <c r="E26" s="3"/>
      <c r="F26" s="3"/>
    </row>
    <row r="27" spans="1:6">
      <c r="A27" s="3"/>
      <c r="B27" s="3"/>
      <c r="C27" s="3"/>
      <c r="D27" s="3"/>
      <c r="E27" s="3"/>
      <c r="F27" s="3"/>
    </row>
  </sheetData>
  <mergeCells count="1">
    <mergeCell ref="A25:F2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45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3.7109375" customWidth="1"/>
    <col min="2" max="2" width="10.7109375" customWidth="1"/>
    <col min="3" max="3" width="14.7109375" customWidth="1"/>
    <col min="4" max="4" width="12.7109375" customWidth="1"/>
    <col min="5" max="5" width="14.7109375" customWidth="1"/>
    <col min="6" max="6" width="16.7109375" customWidth="1"/>
    <col min="7" max="7" width="14.7109375" customWidth="1"/>
    <col min="8" max="8" width="12.7109375" customWidth="1"/>
    <col min="9" max="9" width="15.7109375" customWidth="1"/>
    <col min="10" max="10" width="14.7109375" customWidth="1"/>
  </cols>
  <sheetData>
    <row r="1" spans="1:10" ht="32" customHeight="1">
      <c r="A1" s="5" t="s">
        <v>20</v>
      </c>
      <c r="B1" s="5" t="s">
        <v>21</v>
      </c>
      <c r="C1" s="5" t="s">
        <v>429</v>
      </c>
      <c r="D1" s="5" t="s">
        <v>22</v>
      </c>
      <c r="E1" s="5" t="s">
        <v>430</v>
      </c>
      <c r="F1" s="5" t="s">
        <v>39</v>
      </c>
      <c r="G1" s="5" t="s">
        <v>55</v>
      </c>
      <c r="H1" s="5" t="s">
        <v>431</v>
      </c>
      <c r="I1" s="5" t="s">
        <v>432</v>
      </c>
      <c r="J1" s="5" t="s">
        <v>433</v>
      </c>
    </row>
    <row r="2" spans="1:10">
      <c r="A2" t="s">
        <v>29</v>
      </c>
      <c r="B2">
        <v>1</v>
      </c>
      <c r="C2" t="s">
        <v>434</v>
      </c>
      <c r="D2">
        <v>2</v>
      </c>
      <c r="E2">
        <v>12</v>
      </c>
      <c r="F2">
        <v>1362</v>
      </c>
      <c r="G2">
        <v>82</v>
      </c>
      <c r="H2">
        <v>1</v>
      </c>
      <c r="I2">
        <v>1</v>
      </c>
      <c r="J2">
        <v>0</v>
      </c>
    </row>
    <row r="3" spans="1:10">
      <c r="A3" t="s">
        <v>29</v>
      </c>
      <c r="B3">
        <v>2</v>
      </c>
      <c r="C3" t="s">
        <v>435</v>
      </c>
      <c r="D3">
        <v>2</v>
      </c>
      <c r="E3">
        <v>12</v>
      </c>
      <c r="F3">
        <v>1362</v>
      </c>
      <c r="G3">
        <v>82</v>
      </c>
      <c r="H3">
        <v>1</v>
      </c>
      <c r="I3">
        <v>1</v>
      </c>
      <c r="J3">
        <v>0</v>
      </c>
    </row>
    <row r="4" spans="1:10">
      <c r="A4" t="s">
        <v>29</v>
      </c>
      <c r="B4">
        <v>3</v>
      </c>
      <c r="C4" t="s">
        <v>436</v>
      </c>
      <c r="D4">
        <v>4</v>
      </c>
      <c r="E4">
        <v>24</v>
      </c>
      <c r="F4">
        <v>2907</v>
      </c>
      <c r="G4">
        <v>87</v>
      </c>
      <c r="H4">
        <v>5</v>
      </c>
      <c r="I4">
        <v>2</v>
      </c>
      <c r="J4">
        <v>0</v>
      </c>
    </row>
    <row r="5" spans="1:10">
      <c r="A5" t="s">
        <v>29</v>
      </c>
      <c r="B5">
        <v>4</v>
      </c>
      <c r="C5" t="s">
        <v>437</v>
      </c>
      <c r="D5">
        <v>4</v>
      </c>
      <c r="E5">
        <v>24</v>
      </c>
      <c r="F5">
        <v>2907</v>
      </c>
      <c r="G5">
        <v>87</v>
      </c>
      <c r="H5">
        <v>5</v>
      </c>
      <c r="I5">
        <v>2</v>
      </c>
      <c r="J5">
        <v>0</v>
      </c>
    </row>
    <row r="6" spans="1:10">
      <c r="A6" t="s">
        <v>29</v>
      </c>
      <c r="B6">
        <v>5</v>
      </c>
      <c r="C6" t="s">
        <v>438</v>
      </c>
      <c r="D6">
        <v>4</v>
      </c>
      <c r="E6">
        <v>24</v>
      </c>
      <c r="F6">
        <v>2907</v>
      </c>
      <c r="G6">
        <v>87</v>
      </c>
      <c r="H6">
        <v>5</v>
      </c>
      <c r="I6">
        <v>2</v>
      </c>
      <c r="J6">
        <v>0</v>
      </c>
    </row>
    <row r="7" spans="1:10">
      <c r="A7" t="s">
        <v>29</v>
      </c>
      <c r="B7">
        <v>6</v>
      </c>
      <c r="C7" t="s">
        <v>439</v>
      </c>
      <c r="D7">
        <v>6</v>
      </c>
      <c r="E7">
        <v>36</v>
      </c>
      <c r="F7">
        <v>3741</v>
      </c>
      <c r="G7">
        <v>114</v>
      </c>
      <c r="H7">
        <v>6</v>
      </c>
      <c r="I7">
        <v>3</v>
      </c>
      <c r="J7">
        <v>0</v>
      </c>
    </row>
    <row r="8" spans="1:10">
      <c r="A8" t="s">
        <v>29</v>
      </c>
      <c r="B8">
        <v>7</v>
      </c>
      <c r="C8" t="s">
        <v>440</v>
      </c>
      <c r="D8">
        <v>6</v>
      </c>
      <c r="E8">
        <v>36</v>
      </c>
      <c r="F8">
        <v>3741</v>
      </c>
      <c r="G8">
        <v>114</v>
      </c>
      <c r="H8">
        <v>6</v>
      </c>
      <c r="I8">
        <v>3</v>
      </c>
      <c r="J8">
        <v>0</v>
      </c>
    </row>
    <row r="9" spans="1:10">
      <c r="A9" t="s">
        <v>29</v>
      </c>
      <c r="B9">
        <v>8</v>
      </c>
      <c r="C9" t="s">
        <v>441</v>
      </c>
      <c r="D9">
        <v>8</v>
      </c>
      <c r="E9">
        <v>48</v>
      </c>
      <c r="F9">
        <v>4602</v>
      </c>
      <c r="G9">
        <v>119</v>
      </c>
      <c r="H9">
        <v>7</v>
      </c>
      <c r="I9">
        <v>4</v>
      </c>
      <c r="J9">
        <v>0</v>
      </c>
    </row>
    <row r="10" spans="1:10">
      <c r="A10" t="s">
        <v>29</v>
      </c>
      <c r="B10">
        <v>9</v>
      </c>
      <c r="C10" t="s">
        <v>442</v>
      </c>
      <c r="D10">
        <v>8</v>
      </c>
      <c r="E10">
        <v>48</v>
      </c>
      <c r="F10">
        <v>4602</v>
      </c>
      <c r="G10">
        <v>119</v>
      </c>
      <c r="H10">
        <v>7</v>
      </c>
      <c r="I10">
        <v>4</v>
      </c>
      <c r="J10">
        <v>0</v>
      </c>
    </row>
    <row r="11" spans="1:10">
      <c r="A11" t="s">
        <v>29</v>
      </c>
      <c r="B11">
        <v>10</v>
      </c>
      <c r="C11" t="s">
        <v>443</v>
      </c>
      <c r="D11">
        <v>10</v>
      </c>
      <c r="E11">
        <v>60</v>
      </c>
      <c r="F11">
        <v>5684</v>
      </c>
      <c r="G11">
        <v>131</v>
      </c>
      <c r="H11">
        <v>9</v>
      </c>
      <c r="I11">
        <v>5</v>
      </c>
      <c r="J11">
        <v>0</v>
      </c>
    </row>
    <row r="12" spans="1:10">
      <c r="A12" t="s">
        <v>29</v>
      </c>
      <c r="B12">
        <v>11</v>
      </c>
      <c r="C12" t="s">
        <v>444</v>
      </c>
      <c r="D12">
        <v>10</v>
      </c>
      <c r="E12">
        <v>60</v>
      </c>
      <c r="F12">
        <v>5684</v>
      </c>
      <c r="G12">
        <v>131</v>
      </c>
      <c r="H12">
        <v>9</v>
      </c>
      <c r="I12">
        <v>5</v>
      </c>
      <c r="J12">
        <v>0</v>
      </c>
    </row>
    <row r="13" spans="1:10">
      <c r="A13" t="s">
        <v>29</v>
      </c>
      <c r="B13">
        <v>12</v>
      </c>
      <c r="C13" t="s">
        <v>445</v>
      </c>
      <c r="D13">
        <v>10</v>
      </c>
      <c r="E13">
        <v>60</v>
      </c>
      <c r="F13">
        <v>5684</v>
      </c>
      <c r="G13">
        <v>131</v>
      </c>
      <c r="H13">
        <v>9</v>
      </c>
      <c r="I13">
        <v>5</v>
      </c>
      <c r="J13">
        <v>0</v>
      </c>
    </row>
    <row r="14" spans="1:10">
      <c r="A14" t="s">
        <v>29</v>
      </c>
      <c r="B14">
        <v>13</v>
      </c>
      <c r="C14" t="s">
        <v>446</v>
      </c>
      <c r="D14">
        <v>12</v>
      </c>
      <c r="E14">
        <v>72</v>
      </c>
      <c r="F14">
        <v>7002</v>
      </c>
      <c r="G14">
        <v>149</v>
      </c>
      <c r="H14">
        <v>10</v>
      </c>
      <c r="I14">
        <v>6</v>
      </c>
      <c r="J14">
        <v>0</v>
      </c>
    </row>
    <row r="15" spans="1:10">
      <c r="A15" t="s">
        <v>29</v>
      </c>
      <c r="B15">
        <v>14</v>
      </c>
      <c r="C15" t="s">
        <v>447</v>
      </c>
      <c r="D15">
        <v>12</v>
      </c>
      <c r="E15">
        <v>72</v>
      </c>
      <c r="F15">
        <v>7002</v>
      </c>
      <c r="G15">
        <v>149</v>
      </c>
      <c r="H15">
        <v>10</v>
      </c>
      <c r="I15">
        <v>6</v>
      </c>
      <c r="J15">
        <v>0</v>
      </c>
    </row>
    <row r="16" spans="1:10">
      <c r="A16" t="s">
        <v>29</v>
      </c>
      <c r="B16">
        <v>15</v>
      </c>
      <c r="C16" t="s">
        <v>448</v>
      </c>
      <c r="D16">
        <v>14</v>
      </c>
      <c r="E16">
        <v>84</v>
      </c>
      <c r="F16">
        <v>8262</v>
      </c>
      <c r="G16">
        <v>179</v>
      </c>
      <c r="H16">
        <v>10</v>
      </c>
      <c r="I16">
        <v>7</v>
      </c>
      <c r="J16">
        <v>0</v>
      </c>
    </row>
    <row r="17" spans="1:10">
      <c r="A17" t="s">
        <v>29</v>
      </c>
      <c r="B17">
        <v>16</v>
      </c>
      <c r="C17" t="s">
        <v>449</v>
      </c>
      <c r="D17">
        <v>14</v>
      </c>
      <c r="E17">
        <v>84</v>
      </c>
      <c r="F17">
        <v>8262</v>
      </c>
      <c r="G17">
        <v>179</v>
      </c>
      <c r="H17">
        <v>10</v>
      </c>
      <c r="I17">
        <v>7</v>
      </c>
      <c r="J17">
        <v>0</v>
      </c>
    </row>
    <row r="18" spans="1:10">
      <c r="A18" t="s">
        <v>29</v>
      </c>
      <c r="B18">
        <v>17</v>
      </c>
      <c r="C18" t="s">
        <v>450</v>
      </c>
      <c r="D18">
        <v>16</v>
      </c>
      <c r="E18">
        <v>96</v>
      </c>
      <c r="F18">
        <v>9119</v>
      </c>
      <c r="G18">
        <v>181</v>
      </c>
      <c r="H18">
        <v>12</v>
      </c>
      <c r="I18">
        <v>8</v>
      </c>
      <c r="J18">
        <v>0</v>
      </c>
    </row>
    <row r="19" spans="1:10">
      <c r="A19" t="s">
        <v>29</v>
      </c>
      <c r="B19">
        <v>18</v>
      </c>
      <c r="C19" t="s">
        <v>451</v>
      </c>
      <c r="D19">
        <v>16</v>
      </c>
      <c r="E19">
        <v>96</v>
      </c>
      <c r="F19">
        <v>9119</v>
      </c>
      <c r="G19">
        <v>181</v>
      </c>
      <c r="H19">
        <v>12</v>
      </c>
      <c r="I19">
        <v>8</v>
      </c>
      <c r="J19">
        <v>0</v>
      </c>
    </row>
    <row r="20" spans="1:10">
      <c r="A20" t="s">
        <v>29</v>
      </c>
      <c r="B20">
        <v>19</v>
      </c>
      <c r="C20" t="s">
        <v>452</v>
      </c>
      <c r="D20">
        <v>16</v>
      </c>
      <c r="E20">
        <v>96</v>
      </c>
      <c r="F20">
        <v>9119</v>
      </c>
      <c r="G20">
        <v>181</v>
      </c>
      <c r="H20">
        <v>12</v>
      </c>
      <c r="I20">
        <v>8</v>
      </c>
      <c r="J20">
        <v>0</v>
      </c>
    </row>
    <row r="21" spans="1:10">
      <c r="A21" t="s">
        <v>29</v>
      </c>
      <c r="B21">
        <v>20</v>
      </c>
      <c r="C21" t="s">
        <v>453</v>
      </c>
      <c r="D21">
        <v>18</v>
      </c>
      <c r="E21">
        <v>108</v>
      </c>
      <c r="F21">
        <v>9746</v>
      </c>
      <c r="G21">
        <v>181</v>
      </c>
      <c r="H21">
        <v>13</v>
      </c>
      <c r="I21">
        <v>9</v>
      </c>
      <c r="J21">
        <v>0</v>
      </c>
    </row>
    <row r="22" spans="1:10">
      <c r="A22" t="s">
        <v>29</v>
      </c>
      <c r="B22">
        <v>21</v>
      </c>
      <c r="C22" t="s">
        <v>454</v>
      </c>
      <c r="D22">
        <v>18</v>
      </c>
      <c r="E22">
        <v>108</v>
      </c>
      <c r="F22">
        <v>9746</v>
      </c>
      <c r="G22">
        <v>181</v>
      </c>
      <c r="H22">
        <v>13</v>
      </c>
      <c r="I22">
        <v>9</v>
      </c>
      <c r="J22">
        <v>0</v>
      </c>
    </row>
    <row r="23" spans="1:10">
      <c r="A23" t="s">
        <v>29</v>
      </c>
      <c r="B23">
        <v>22</v>
      </c>
      <c r="C23" t="s">
        <v>455</v>
      </c>
      <c r="D23">
        <v>20</v>
      </c>
      <c r="E23">
        <v>120</v>
      </c>
      <c r="F23">
        <v>10834</v>
      </c>
      <c r="G23">
        <v>196</v>
      </c>
      <c r="H23">
        <v>14</v>
      </c>
      <c r="I23">
        <v>10</v>
      </c>
      <c r="J23">
        <v>0</v>
      </c>
    </row>
    <row r="24" spans="1:10">
      <c r="A24" t="s">
        <v>29</v>
      </c>
      <c r="B24">
        <v>23</v>
      </c>
      <c r="C24" t="s">
        <v>456</v>
      </c>
      <c r="D24">
        <v>20</v>
      </c>
      <c r="E24">
        <v>120</v>
      </c>
      <c r="F24">
        <v>10834</v>
      </c>
      <c r="G24">
        <v>196</v>
      </c>
      <c r="H24">
        <v>14</v>
      </c>
      <c r="I24">
        <v>10</v>
      </c>
      <c r="J24">
        <v>0</v>
      </c>
    </row>
    <row r="25" spans="1:10">
      <c r="A25" t="s">
        <v>29</v>
      </c>
      <c r="B25">
        <v>24</v>
      </c>
      <c r="C25" t="s">
        <v>457</v>
      </c>
      <c r="D25">
        <v>22</v>
      </c>
      <c r="E25">
        <v>132</v>
      </c>
      <c r="F25">
        <v>13366</v>
      </c>
      <c r="G25">
        <v>218</v>
      </c>
      <c r="H25">
        <v>16</v>
      </c>
      <c r="I25">
        <v>11</v>
      </c>
      <c r="J25">
        <v>0</v>
      </c>
    </row>
    <row r="26" spans="1:10">
      <c r="A26" t="s">
        <v>29</v>
      </c>
      <c r="B26">
        <v>25</v>
      </c>
      <c r="C26" t="s">
        <v>458</v>
      </c>
      <c r="D26">
        <v>22</v>
      </c>
      <c r="E26">
        <v>132</v>
      </c>
      <c r="F26">
        <v>13366</v>
      </c>
      <c r="G26">
        <v>218</v>
      </c>
      <c r="H26">
        <v>16</v>
      </c>
      <c r="I26">
        <v>11</v>
      </c>
      <c r="J26">
        <v>0</v>
      </c>
    </row>
    <row r="27" spans="1:10">
      <c r="A27" t="s">
        <v>29</v>
      </c>
      <c r="B27">
        <v>26</v>
      </c>
      <c r="C27" t="s">
        <v>459</v>
      </c>
      <c r="D27">
        <v>22</v>
      </c>
      <c r="E27">
        <v>132</v>
      </c>
      <c r="F27">
        <v>13366</v>
      </c>
      <c r="G27">
        <v>218</v>
      </c>
      <c r="H27">
        <v>16</v>
      </c>
      <c r="I27">
        <v>11</v>
      </c>
      <c r="J27">
        <v>0</v>
      </c>
    </row>
    <row r="28" spans="1:10">
      <c r="A28" t="s">
        <v>29</v>
      </c>
      <c r="B28">
        <v>27</v>
      </c>
      <c r="C28" t="s">
        <v>460</v>
      </c>
      <c r="D28">
        <v>24</v>
      </c>
      <c r="E28">
        <v>144</v>
      </c>
      <c r="F28">
        <v>14234</v>
      </c>
      <c r="G28">
        <v>218</v>
      </c>
      <c r="H28">
        <v>18</v>
      </c>
      <c r="I28">
        <v>12</v>
      </c>
      <c r="J28">
        <v>0</v>
      </c>
    </row>
    <row r="29" spans="1:10">
      <c r="A29" t="s">
        <v>29</v>
      </c>
      <c r="B29">
        <v>28</v>
      </c>
      <c r="C29" t="s">
        <v>461</v>
      </c>
      <c r="D29">
        <v>24</v>
      </c>
      <c r="E29">
        <v>144</v>
      </c>
      <c r="F29">
        <v>14234</v>
      </c>
      <c r="G29">
        <v>218</v>
      </c>
      <c r="H29">
        <v>18</v>
      </c>
      <c r="I29">
        <v>12</v>
      </c>
      <c r="J29">
        <v>0</v>
      </c>
    </row>
    <row r="30" spans="1:10">
      <c r="A30" t="s">
        <v>29</v>
      </c>
      <c r="B30">
        <v>29</v>
      </c>
      <c r="C30" t="s">
        <v>462</v>
      </c>
      <c r="D30">
        <v>26</v>
      </c>
      <c r="E30">
        <v>156</v>
      </c>
      <c r="F30">
        <v>15004</v>
      </c>
      <c r="G30">
        <v>218</v>
      </c>
      <c r="H30">
        <v>18</v>
      </c>
      <c r="I30">
        <v>13</v>
      </c>
      <c r="J30">
        <v>0</v>
      </c>
    </row>
    <row r="31" spans="1:10">
      <c r="A31" t="s">
        <v>29</v>
      </c>
      <c r="B31">
        <v>30</v>
      </c>
      <c r="C31" t="s">
        <v>463</v>
      </c>
      <c r="D31">
        <v>26</v>
      </c>
      <c r="E31">
        <v>156</v>
      </c>
      <c r="F31">
        <v>15004</v>
      </c>
      <c r="G31">
        <v>218</v>
      </c>
      <c r="H31">
        <v>18</v>
      </c>
      <c r="I31">
        <v>13</v>
      </c>
      <c r="J31">
        <v>0</v>
      </c>
    </row>
    <row r="32" spans="1:10">
      <c r="A32" t="s">
        <v>29</v>
      </c>
      <c r="B32">
        <v>31</v>
      </c>
      <c r="C32" t="s">
        <v>464</v>
      </c>
      <c r="D32">
        <v>28</v>
      </c>
      <c r="E32">
        <v>168</v>
      </c>
      <c r="F32">
        <v>16422</v>
      </c>
      <c r="G32">
        <v>238</v>
      </c>
      <c r="H32">
        <v>19</v>
      </c>
      <c r="I32">
        <v>14</v>
      </c>
      <c r="J32">
        <v>0</v>
      </c>
    </row>
    <row r="33" spans="1:10">
      <c r="A33" t="s">
        <v>29</v>
      </c>
      <c r="B33">
        <v>32</v>
      </c>
      <c r="C33" t="s">
        <v>465</v>
      </c>
      <c r="D33">
        <v>28</v>
      </c>
      <c r="E33">
        <v>168</v>
      </c>
      <c r="F33">
        <v>16422</v>
      </c>
      <c r="G33">
        <v>238</v>
      </c>
      <c r="H33">
        <v>19</v>
      </c>
      <c r="I33">
        <v>14</v>
      </c>
      <c r="J33">
        <v>0</v>
      </c>
    </row>
    <row r="34" spans="1:10">
      <c r="A34" t="s">
        <v>29</v>
      </c>
      <c r="B34">
        <v>33</v>
      </c>
      <c r="C34" t="s">
        <v>466</v>
      </c>
      <c r="D34">
        <v>28</v>
      </c>
      <c r="E34">
        <v>168</v>
      </c>
      <c r="F34">
        <v>16422</v>
      </c>
      <c r="G34">
        <v>238</v>
      </c>
      <c r="H34">
        <v>19</v>
      </c>
      <c r="I34">
        <v>14</v>
      </c>
      <c r="J34">
        <v>0</v>
      </c>
    </row>
    <row r="35" spans="1:10">
      <c r="A35" t="s">
        <v>29</v>
      </c>
      <c r="B35">
        <v>34</v>
      </c>
      <c r="C35" t="s">
        <v>467</v>
      </c>
      <c r="D35">
        <v>30</v>
      </c>
      <c r="E35">
        <v>180</v>
      </c>
      <c r="F35">
        <v>17795</v>
      </c>
      <c r="G35">
        <v>263</v>
      </c>
      <c r="H35">
        <v>20</v>
      </c>
      <c r="I35">
        <v>15</v>
      </c>
      <c r="J35">
        <v>0</v>
      </c>
    </row>
    <row r="36" spans="1:10">
      <c r="A36" t="s">
        <v>29</v>
      </c>
      <c r="B36">
        <v>35</v>
      </c>
      <c r="C36" t="s">
        <v>468</v>
      </c>
      <c r="D36">
        <v>30</v>
      </c>
      <c r="E36">
        <v>180</v>
      </c>
      <c r="F36">
        <v>17795</v>
      </c>
      <c r="G36">
        <v>263</v>
      </c>
      <c r="H36">
        <v>20</v>
      </c>
      <c r="I36">
        <v>15</v>
      </c>
      <c r="J36">
        <v>0</v>
      </c>
    </row>
    <row r="37" spans="1:10">
      <c r="A37" t="s">
        <v>29</v>
      </c>
      <c r="B37">
        <v>36</v>
      </c>
      <c r="C37" t="s">
        <v>469</v>
      </c>
      <c r="D37">
        <v>32</v>
      </c>
      <c r="E37">
        <v>192</v>
      </c>
      <c r="F37">
        <v>18691</v>
      </c>
      <c r="G37">
        <v>263</v>
      </c>
      <c r="H37">
        <v>21</v>
      </c>
      <c r="I37">
        <v>16</v>
      </c>
      <c r="J37">
        <v>0</v>
      </c>
    </row>
    <row r="38" spans="1:10">
      <c r="A38" t="s">
        <v>29</v>
      </c>
      <c r="B38">
        <v>37</v>
      </c>
      <c r="C38" t="s">
        <v>470</v>
      </c>
      <c r="D38">
        <v>32</v>
      </c>
      <c r="E38">
        <v>192</v>
      </c>
      <c r="F38">
        <v>18691</v>
      </c>
      <c r="G38">
        <v>263</v>
      </c>
      <c r="H38">
        <v>21</v>
      </c>
      <c r="I38">
        <v>16</v>
      </c>
      <c r="J38">
        <v>0</v>
      </c>
    </row>
    <row r="39" spans="1:10">
      <c r="A39" t="s">
        <v>29</v>
      </c>
      <c r="B39">
        <v>38</v>
      </c>
      <c r="C39" t="s">
        <v>471</v>
      </c>
      <c r="D39">
        <v>34</v>
      </c>
      <c r="E39">
        <v>204</v>
      </c>
      <c r="F39">
        <v>20036</v>
      </c>
      <c r="G39">
        <v>288</v>
      </c>
      <c r="H39">
        <v>22</v>
      </c>
      <c r="I39">
        <v>17</v>
      </c>
      <c r="J39">
        <v>0</v>
      </c>
    </row>
    <row r="40" spans="1:10">
      <c r="A40" t="s">
        <v>29</v>
      </c>
      <c r="B40">
        <v>39</v>
      </c>
      <c r="C40" t="s">
        <v>472</v>
      </c>
      <c r="D40">
        <v>34</v>
      </c>
      <c r="E40">
        <v>204</v>
      </c>
      <c r="F40">
        <v>20036</v>
      </c>
      <c r="G40">
        <v>288</v>
      </c>
      <c r="H40">
        <v>22</v>
      </c>
      <c r="I40">
        <v>17</v>
      </c>
      <c r="J40">
        <v>0</v>
      </c>
    </row>
    <row r="41" spans="1:10">
      <c r="A41" t="s">
        <v>29</v>
      </c>
      <c r="B41">
        <v>40</v>
      </c>
      <c r="C41" t="s">
        <v>473</v>
      </c>
      <c r="D41">
        <v>34</v>
      </c>
      <c r="E41">
        <v>204</v>
      </c>
      <c r="F41">
        <v>20036</v>
      </c>
      <c r="G41">
        <v>288</v>
      </c>
      <c r="H41">
        <v>22</v>
      </c>
      <c r="I41">
        <v>17</v>
      </c>
      <c r="J41">
        <v>0</v>
      </c>
    </row>
    <row r="42" spans="1:10">
      <c r="A42" t="s">
        <v>29</v>
      </c>
      <c r="B42">
        <v>41</v>
      </c>
      <c r="C42" t="s">
        <v>474</v>
      </c>
      <c r="D42">
        <v>36</v>
      </c>
      <c r="E42">
        <v>216</v>
      </c>
      <c r="F42">
        <v>21614</v>
      </c>
      <c r="G42">
        <v>303</v>
      </c>
      <c r="H42">
        <v>22</v>
      </c>
      <c r="I42">
        <v>18</v>
      </c>
      <c r="J42">
        <v>1</v>
      </c>
    </row>
    <row r="43" spans="1:10">
      <c r="A43" t="s">
        <v>29</v>
      </c>
      <c r="B43">
        <v>42</v>
      </c>
      <c r="C43" t="s">
        <v>475</v>
      </c>
      <c r="D43">
        <v>36</v>
      </c>
      <c r="E43">
        <v>216</v>
      </c>
      <c r="F43">
        <v>21614</v>
      </c>
      <c r="G43">
        <v>303</v>
      </c>
      <c r="H43">
        <v>22</v>
      </c>
      <c r="I43">
        <v>18</v>
      </c>
      <c r="J43">
        <v>1</v>
      </c>
    </row>
    <row r="44" spans="1:10">
      <c r="A44" t="s">
        <v>29</v>
      </c>
      <c r="B44">
        <v>43</v>
      </c>
      <c r="C44" t="s">
        <v>476</v>
      </c>
      <c r="D44">
        <v>38</v>
      </c>
      <c r="E44">
        <v>228</v>
      </c>
      <c r="F44">
        <v>22257</v>
      </c>
      <c r="G44">
        <v>303</v>
      </c>
      <c r="H44">
        <v>23</v>
      </c>
      <c r="I44">
        <v>19</v>
      </c>
      <c r="J44">
        <v>1</v>
      </c>
    </row>
    <row r="45" spans="1:10">
      <c r="A45" t="s">
        <v>29</v>
      </c>
      <c r="B45">
        <v>44</v>
      </c>
      <c r="C45" t="s">
        <v>477</v>
      </c>
      <c r="D45">
        <v>38</v>
      </c>
      <c r="E45">
        <v>228</v>
      </c>
      <c r="F45">
        <v>22257</v>
      </c>
      <c r="G45">
        <v>303</v>
      </c>
      <c r="H45">
        <v>23</v>
      </c>
      <c r="I45">
        <v>19</v>
      </c>
      <c r="J45">
        <v>1</v>
      </c>
    </row>
    <row r="46" spans="1:10">
      <c r="A46" t="s">
        <v>29</v>
      </c>
      <c r="B46">
        <v>45</v>
      </c>
      <c r="C46" t="s">
        <v>478</v>
      </c>
      <c r="D46">
        <v>40</v>
      </c>
      <c r="E46">
        <v>240</v>
      </c>
      <c r="F46">
        <v>23805</v>
      </c>
      <c r="G46">
        <v>306</v>
      </c>
      <c r="H46">
        <v>25</v>
      </c>
      <c r="I46">
        <v>20</v>
      </c>
      <c r="J46">
        <v>1</v>
      </c>
    </row>
    <row r="47" spans="1:10">
      <c r="A47" t="s">
        <v>29</v>
      </c>
      <c r="B47">
        <v>46</v>
      </c>
      <c r="C47" t="s">
        <v>479</v>
      </c>
      <c r="D47">
        <v>40</v>
      </c>
      <c r="E47">
        <v>240</v>
      </c>
      <c r="F47">
        <v>23805</v>
      </c>
      <c r="G47">
        <v>306</v>
      </c>
      <c r="H47">
        <v>25</v>
      </c>
      <c r="I47">
        <v>20</v>
      </c>
      <c r="J47">
        <v>1</v>
      </c>
    </row>
    <row r="48" spans="1:10">
      <c r="A48" t="s">
        <v>29</v>
      </c>
      <c r="B48">
        <v>47</v>
      </c>
      <c r="C48" t="s">
        <v>480</v>
      </c>
      <c r="D48">
        <v>40</v>
      </c>
      <c r="E48">
        <v>240</v>
      </c>
      <c r="F48">
        <v>23805</v>
      </c>
      <c r="G48">
        <v>306</v>
      </c>
      <c r="H48">
        <v>25</v>
      </c>
      <c r="I48">
        <v>20</v>
      </c>
      <c r="J48">
        <v>1</v>
      </c>
    </row>
    <row r="49" spans="1:10">
      <c r="A49" t="s">
        <v>29</v>
      </c>
      <c r="B49">
        <v>48</v>
      </c>
      <c r="C49" t="s">
        <v>481</v>
      </c>
      <c r="D49">
        <v>42</v>
      </c>
      <c r="E49">
        <v>252</v>
      </c>
      <c r="F49">
        <v>25518</v>
      </c>
      <c r="G49">
        <v>351</v>
      </c>
      <c r="H49">
        <v>25</v>
      </c>
      <c r="I49">
        <v>21</v>
      </c>
      <c r="J49">
        <v>1</v>
      </c>
    </row>
    <row r="50" spans="1:10">
      <c r="A50" t="s">
        <v>29</v>
      </c>
      <c r="B50">
        <v>49</v>
      </c>
      <c r="C50" t="s">
        <v>482</v>
      </c>
      <c r="D50">
        <v>42</v>
      </c>
      <c r="E50">
        <v>252</v>
      </c>
      <c r="F50">
        <v>25518</v>
      </c>
      <c r="G50">
        <v>351</v>
      </c>
      <c r="H50">
        <v>25</v>
      </c>
      <c r="I50">
        <v>21</v>
      </c>
      <c r="J50">
        <v>1</v>
      </c>
    </row>
    <row r="51" spans="1:10">
      <c r="A51" t="s">
        <v>29</v>
      </c>
      <c r="B51">
        <v>50</v>
      </c>
      <c r="C51" t="s">
        <v>483</v>
      </c>
      <c r="D51">
        <v>44</v>
      </c>
      <c r="E51">
        <v>264</v>
      </c>
      <c r="F51">
        <v>26731</v>
      </c>
      <c r="G51">
        <v>359</v>
      </c>
      <c r="H51">
        <v>26</v>
      </c>
      <c r="I51">
        <v>22</v>
      </c>
      <c r="J51">
        <v>1</v>
      </c>
    </row>
    <row r="52" spans="1:10">
      <c r="A52" t="s">
        <v>29</v>
      </c>
      <c r="B52">
        <v>51</v>
      </c>
      <c r="C52" t="s">
        <v>484</v>
      </c>
      <c r="D52">
        <v>44</v>
      </c>
      <c r="E52">
        <v>264</v>
      </c>
      <c r="F52">
        <v>26731</v>
      </c>
      <c r="G52">
        <v>359</v>
      </c>
      <c r="H52">
        <v>26</v>
      </c>
      <c r="I52">
        <v>22</v>
      </c>
      <c r="J52">
        <v>1</v>
      </c>
    </row>
    <row r="53" spans="1:10">
      <c r="A53" t="s">
        <v>29</v>
      </c>
      <c r="B53">
        <v>52</v>
      </c>
      <c r="C53" t="s">
        <v>485</v>
      </c>
      <c r="D53">
        <v>46</v>
      </c>
      <c r="E53">
        <v>276</v>
      </c>
      <c r="F53">
        <v>27940</v>
      </c>
      <c r="G53">
        <v>369</v>
      </c>
      <c r="H53">
        <v>28</v>
      </c>
      <c r="I53">
        <v>23</v>
      </c>
      <c r="J53">
        <v>1</v>
      </c>
    </row>
    <row r="54" spans="1:10">
      <c r="A54" t="s">
        <v>29</v>
      </c>
      <c r="B54">
        <v>53</v>
      </c>
      <c r="C54" t="s">
        <v>486</v>
      </c>
      <c r="D54">
        <v>46</v>
      </c>
      <c r="E54">
        <v>276</v>
      </c>
      <c r="F54">
        <v>27940</v>
      </c>
      <c r="G54">
        <v>369</v>
      </c>
      <c r="H54">
        <v>28</v>
      </c>
      <c r="I54">
        <v>23</v>
      </c>
      <c r="J54">
        <v>1</v>
      </c>
    </row>
    <row r="55" spans="1:10">
      <c r="A55" t="s">
        <v>29</v>
      </c>
      <c r="B55">
        <v>54</v>
      </c>
      <c r="C55" t="s">
        <v>487</v>
      </c>
      <c r="D55">
        <v>46</v>
      </c>
      <c r="E55">
        <v>276</v>
      </c>
      <c r="F55">
        <v>27940</v>
      </c>
      <c r="G55">
        <v>369</v>
      </c>
      <c r="H55">
        <v>28</v>
      </c>
      <c r="I55">
        <v>23</v>
      </c>
      <c r="J55">
        <v>1</v>
      </c>
    </row>
    <row r="56" spans="1:10">
      <c r="A56" t="s">
        <v>29</v>
      </c>
      <c r="B56">
        <v>55</v>
      </c>
      <c r="C56" t="s">
        <v>488</v>
      </c>
      <c r="D56">
        <v>48</v>
      </c>
      <c r="E56">
        <v>288</v>
      </c>
      <c r="F56">
        <v>28640</v>
      </c>
      <c r="G56">
        <v>374</v>
      </c>
      <c r="H56">
        <v>29</v>
      </c>
      <c r="I56">
        <v>24</v>
      </c>
      <c r="J56">
        <v>1</v>
      </c>
    </row>
    <row r="57" spans="1:10">
      <c r="A57" t="s">
        <v>29</v>
      </c>
      <c r="B57">
        <v>56</v>
      </c>
      <c r="C57" t="s">
        <v>489</v>
      </c>
      <c r="D57">
        <v>48</v>
      </c>
      <c r="E57">
        <v>288</v>
      </c>
      <c r="F57">
        <v>28640</v>
      </c>
      <c r="G57">
        <v>374</v>
      </c>
      <c r="H57">
        <v>29</v>
      </c>
      <c r="I57">
        <v>24</v>
      </c>
      <c r="J57">
        <v>1</v>
      </c>
    </row>
    <row r="58" spans="1:10">
      <c r="A58" t="s">
        <v>29</v>
      </c>
      <c r="B58">
        <v>57</v>
      </c>
      <c r="C58" t="s">
        <v>490</v>
      </c>
      <c r="D58">
        <v>50</v>
      </c>
      <c r="E58">
        <v>300</v>
      </c>
      <c r="F58">
        <v>29588</v>
      </c>
      <c r="G58">
        <v>374</v>
      </c>
      <c r="H58">
        <v>29</v>
      </c>
      <c r="I58">
        <v>25</v>
      </c>
      <c r="J58">
        <v>1</v>
      </c>
    </row>
    <row r="59" spans="1:10">
      <c r="A59" t="s">
        <v>29</v>
      </c>
      <c r="B59">
        <v>58</v>
      </c>
      <c r="C59" t="s">
        <v>491</v>
      </c>
      <c r="D59">
        <v>50</v>
      </c>
      <c r="E59">
        <v>300</v>
      </c>
      <c r="F59">
        <v>29588</v>
      </c>
      <c r="G59">
        <v>374</v>
      </c>
      <c r="H59">
        <v>29</v>
      </c>
      <c r="I59">
        <v>25</v>
      </c>
      <c r="J59">
        <v>1</v>
      </c>
    </row>
    <row r="60" spans="1:10">
      <c r="A60" t="s">
        <v>29</v>
      </c>
      <c r="B60">
        <v>59</v>
      </c>
      <c r="C60" t="s">
        <v>492</v>
      </c>
      <c r="D60">
        <v>52</v>
      </c>
      <c r="E60">
        <v>312</v>
      </c>
      <c r="F60">
        <v>30754</v>
      </c>
      <c r="G60">
        <v>379</v>
      </c>
      <c r="H60">
        <v>31</v>
      </c>
      <c r="I60">
        <v>26</v>
      </c>
      <c r="J60">
        <v>1</v>
      </c>
    </row>
    <row r="61" spans="1:10">
      <c r="A61" t="s">
        <v>29</v>
      </c>
      <c r="B61">
        <v>60</v>
      </c>
      <c r="C61" t="s">
        <v>493</v>
      </c>
      <c r="D61">
        <v>52</v>
      </c>
      <c r="E61">
        <v>312</v>
      </c>
      <c r="F61">
        <v>30754</v>
      </c>
      <c r="G61">
        <v>379</v>
      </c>
      <c r="H61">
        <v>31</v>
      </c>
      <c r="I61">
        <v>26</v>
      </c>
      <c r="J61">
        <v>1</v>
      </c>
    </row>
    <row r="62" spans="1:10">
      <c r="A62" t="s">
        <v>29</v>
      </c>
      <c r="B62">
        <v>61</v>
      </c>
      <c r="C62" t="s">
        <v>494</v>
      </c>
      <c r="D62">
        <v>52</v>
      </c>
      <c r="E62">
        <v>312</v>
      </c>
      <c r="F62">
        <v>30754</v>
      </c>
      <c r="G62">
        <v>379</v>
      </c>
      <c r="H62">
        <v>31</v>
      </c>
      <c r="I62">
        <v>26</v>
      </c>
      <c r="J62">
        <v>1</v>
      </c>
    </row>
    <row r="63" spans="1:10">
      <c r="A63" t="s">
        <v>29</v>
      </c>
      <c r="B63">
        <v>62</v>
      </c>
      <c r="C63" t="s">
        <v>495</v>
      </c>
      <c r="D63">
        <v>54</v>
      </c>
      <c r="E63">
        <v>324</v>
      </c>
      <c r="F63">
        <v>31528</v>
      </c>
      <c r="G63">
        <v>379</v>
      </c>
      <c r="H63">
        <v>31</v>
      </c>
      <c r="I63">
        <v>27</v>
      </c>
      <c r="J63">
        <v>1</v>
      </c>
    </row>
    <row r="64" spans="1:10">
      <c r="A64" t="s">
        <v>29</v>
      </c>
      <c r="B64">
        <v>63</v>
      </c>
      <c r="C64" t="s">
        <v>496</v>
      </c>
      <c r="D64">
        <v>54</v>
      </c>
      <c r="E64">
        <v>324</v>
      </c>
      <c r="F64">
        <v>31528</v>
      </c>
      <c r="G64">
        <v>379</v>
      </c>
      <c r="H64">
        <v>31</v>
      </c>
      <c r="I64">
        <v>27</v>
      </c>
      <c r="J64">
        <v>1</v>
      </c>
    </row>
    <row r="65" spans="1:10">
      <c r="A65" t="s">
        <v>29</v>
      </c>
      <c r="B65">
        <v>64</v>
      </c>
      <c r="C65" t="s">
        <v>497</v>
      </c>
      <c r="D65">
        <v>56</v>
      </c>
      <c r="E65">
        <v>336</v>
      </c>
      <c r="F65">
        <v>32729</v>
      </c>
      <c r="G65">
        <v>409</v>
      </c>
      <c r="H65">
        <v>31</v>
      </c>
      <c r="I65">
        <v>28</v>
      </c>
      <c r="J65">
        <v>1</v>
      </c>
    </row>
    <row r="66" spans="1:10">
      <c r="A66" t="s">
        <v>29</v>
      </c>
      <c r="B66">
        <v>65</v>
      </c>
      <c r="C66" t="s">
        <v>498</v>
      </c>
      <c r="D66">
        <v>56</v>
      </c>
      <c r="E66">
        <v>336</v>
      </c>
      <c r="F66">
        <v>32729</v>
      </c>
      <c r="G66">
        <v>409</v>
      </c>
      <c r="H66">
        <v>31</v>
      </c>
      <c r="I66">
        <v>28</v>
      </c>
      <c r="J66">
        <v>1</v>
      </c>
    </row>
    <row r="67" spans="1:10">
      <c r="A67" t="s">
        <v>29</v>
      </c>
      <c r="B67">
        <v>66</v>
      </c>
      <c r="C67" t="s">
        <v>499</v>
      </c>
      <c r="D67">
        <v>58</v>
      </c>
      <c r="E67">
        <v>348</v>
      </c>
      <c r="F67">
        <v>33473</v>
      </c>
      <c r="G67">
        <v>409</v>
      </c>
      <c r="H67">
        <v>33</v>
      </c>
      <c r="I67">
        <v>29</v>
      </c>
      <c r="J67">
        <v>1</v>
      </c>
    </row>
    <row r="68" spans="1:10">
      <c r="A68" t="s">
        <v>29</v>
      </c>
      <c r="B68">
        <v>67</v>
      </c>
      <c r="C68" t="s">
        <v>500</v>
      </c>
      <c r="D68">
        <v>58</v>
      </c>
      <c r="E68">
        <v>348</v>
      </c>
      <c r="F68">
        <v>33473</v>
      </c>
      <c r="G68">
        <v>409</v>
      </c>
      <c r="H68">
        <v>33</v>
      </c>
      <c r="I68">
        <v>29</v>
      </c>
      <c r="J68">
        <v>1</v>
      </c>
    </row>
    <row r="69" spans="1:10">
      <c r="A69" t="s">
        <v>29</v>
      </c>
      <c r="B69">
        <v>68</v>
      </c>
      <c r="C69" t="s">
        <v>501</v>
      </c>
      <c r="D69">
        <v>58</v>
      </c>
      <c r="E69">
        <v>348</v>
      </c>
      <c r="F69">
        <v>33473</v>
      </c>
      <c r="G69">
        <v>409</v>
      </c>
      <c r="H69">
        <v>33</v>
      </c>
      <c r="I69">
        <v>29</v>
      </c>
      <c r="J69">
        <v>1</v>
      </c>
    </row>
    <row r="70" spans="1:10">
      <c r="A70" t="s">
        <v>29</v>
      </c>
      <c r="B70">
        <v>69</v>
      </c>
      <c r="C70" t="s">
        <v>502</v>
      </c>
      <c r="D70">
        <v>60</v>
      </c>
      <c r="E70">
        <v>360</v>
      </c>
      <c r="F70">
        <v>34112</v>
      </c>
      <c r="G70">
        <v>409</v>
      </c>
      <c r="H70">
        <v>33</v>
      </c>
      <c r="I70">
        <v>30</v>
      </c>
      <c r="J70">
        <v>1</v>
      </c>
    </row>
    <row r="71" spans="1:10">
      <c r="A71" t="s">
        <v>29</v>
      </c>
      <c r="B71">
        <v>70</v>
      </c>
      <c r="C71" t="s">
        <v>503</v>
      </c>
      <c r="D71">
        <v>60</v>
      </c>
      <c r="E71">
        <v>360</v>
      </c>
      <c r="F71">
        <v>34112</v>
      </c>
      <c r="G71">
        <v>409</v>
      </c>
      <c r="H71">
        <v>33</v>
      </c>
      <c r="I71">
        <v>30</v>
      </c>
      <c r="J71">
        <v>1</v>
      </c>
    </row>
    <row r="72" spans="1:10">
      <c r="A72" t="s">
        <v>29</v>
      </c>
      <c r="B72">
        <v>71</v>
      </c>
      <c r="C72" t="s">
        <v>504</v>
      </c>
      <c r="D72">
        <v>62</v>
      </c>
      <c r="E72">
        <v>372</v>
      </c>
      <c r="F72">
        <v>35823</v>
      </c>
      <c r="G72">
        <v>437</v>
      </c>
      <c r="H72">
        <v>34</v>
      </c>
      <c r="I72">
        <v>31</v>
      </c>
      <c r="J72">
        <v>1</v>
      </c>
    </row>
    <row r="73" spans="1:10">
      <c r="A73" t="s">
        <v>29</v>
      </c>
      <c r="B73">
        <v>72</v>
      </c>
      <c r="C73" t="s">
        <v>505</v>
      </c>
      <c r="D73">
        <v>62</v>
      </c>
      <c r="E73">
        <v>372</v>
      </c>
      <c r="F73">
        <v>35823</v>
      </c>
      <c r="G73">
        <v>437</v>
      </c>
      <c r="H73">
        <v>34</v>
      </c>
      <c r="I73">
        <v>31</v>
      </c>
      <c r="J73">
        <v>1</v>
      </c>
    </row>
    <row r="74" spans="1:10">
      <c r="A74" t="s">
        <v>29</v>
      </c>
      <c r="B74">
        <v>73</v>
      </c>
      <c r="C74" t="s">
        <v>506</v>
      </c>
      <c r="D74">
        <v>64</v>
      </c>
      <c r="E74">
        <v>384</v>
      </c>
      <c r="F74">
        <v>38047</v>
      </c>
      <c r="G74">
        <v>437</v>
      </c>
      <c r="H74">
        <v>35</v>
      </c>
      <c r="I74">
        <v>32</v>
      </c>
      <c r="J74">
        <v>1</v>
      </c>
    </row>
    <row r="75" spans="1:10">
      <c r="A75" t="s">
        <v>29</v>
      </c>
      <c r="B75">
        <v>74</v>
      </c>
      <c r="C75" t="s">
        <v>507</v>
      </c>
      <c r="D75">
        <v>64</v>
      </c>
      <c r="E75">
        <v>384</v>
      </c>
      <c r="F75">
        <v>38047</v>
      </c>
      <c r="G75">
        <v>437</v>
      </c>
      <c r="H75">
        <v>35</v>
      </c>
      <c r="I75">
        <v>32</v>
      </c>
      <c r="J75">
        <v>1</v>
      </c>
    </row>
    <row r="76" spans="1:10">
      <c r="A76" t="s">
        <v>29</v>
      </c>
      <c r="B76">
        <v>75</v>
      </c>
      <c r="C76" t="s">
        <v>508</v>
      </c>
      <c r="D76">
        <v>64</v>
      </c>
      <c r="E76">
        <v>384</v>
      </c>
      <c r="F76">
        <v>38047</v>
      </c>
      <c r="G76">
        <v>437</v>
      </c>
      <c r="H76">
        <v>35</v>
      </c>
      <c r="I76">
        <v>32</v>
      </c>
      <c r="J76">
        <v>1</v>
      </c>
    </row>
    <row r="77" spans="1:10">
      <c r="A77" t="s">
        <v>29</v>
      </c>
      <c r="B77">
        <v>76</v>
      </c>
      <c r="C77" t="s">
        <v>509</v>
      </c>
      <c r="D77">
        <v>66</v>
      </c>
      <c r="E77">
        <v>396</v>
      </c>
      <c r="F77">
        <v>40497</v>
      </c>
      <c r="G77">
        <v>452</v>
      </c>
      <c r="H77">
        <v>39</v>
      </c>
      <c r="I77">
        <v>33</v>
      </c>
      <c r="J77">
        <v>1</v>
      </c>
    </row>
    <row r="78" spans="1:10">
      <c r="A78" t="s">
        <v>29</v>
      </c>
      <c r="B78">
        <v>77</v>
      </c>
      <c r="C78" t="s">
        <v>510</v>
      </c>
      <c r="D78">
        <v>66</v>
      </c>
      <c r="E78">
        <v>396</v>
      </c>
      <c r="F78">
        <v>40497</v>
      </c>
      <c r="G78">
        <v>452</v>
      </c>
      <c r="H78">
        <v>39</v>
      </c>
      <c r="I78">
        <v>33</v>
      </c>
      <c r="J78">
        <v>1</v>
      </c>
    </row>
    <row r="79" spans="1:10">
      <c r="A79" t="s">
        <v>29</v>
      </c>
      <c r="B79">
        <v>78</v>
      </c>
      <c r="C79" t="s">
        <v>511</v>
      </c>
      <c r="D79">
        <v>68</v>
      </c>
      <c r="E79">
        <v>408</v>
      </c>
      <c r="F79">
        <v>41932</v>
      </c>
      <c r="G79">
        <v>455</v>
      </c>
      <c r="H79">
        <v>39</v>
      </c>
      <c r="I79">
        <v>34</v>
      </c>
      <c r="J79">
        <v>1</v>
      </c>
    </row>
    <row r="80" spans="1:10">
      <c r="A80" t="s">
        <v>29</v>
      </c>
      <c r="B80">
        <v>79</v>
      </c>
      <c r="C80" t="s">
        <v>512</v>
      </c>
      <c r="D80">
        <v>68</v>
      </c>
      <c r="E80">
        <v>408</v>
      </c>
      <c r="F80">
        <v>41932</v>
      </c>
      <c r="G80">
        <v>455</v>
      </c>
      <c r="H80">
        <v>39</v>
      </c>
      <c r="I80">
        <v>34</v>
      </c>
      <c r="J80">
        <v>1</v>
      </c>
    </row>
    <row r="81" spans="1:10">
      <c r="A81" t="s">
        <v>29</v>
      </c>
      <c r="B81">
        <v>80</v>
      </c>
      <c r="C81" t="s">
        <v>513</v>
      </c>
      <c r="D81">
        <v>70</v>
      </c>
      <c r="E81">
        <v>420</v>
      </c>
      <c r="F81">
        <v>42948</v>
      </c>
      <c r="G81">
        <v>478</v>
      </c>
      <c r="H81">
        <v>39</v>
      </c>
      <c r="I81">
        <v>35</v>
      </c>
      <c r="J81">
        <v>1</v>
      </c>
    </row>
    <row r="82" spans="1:10">
      <c r="A82" t="s">
        <v>29</v>
      </c>
      <c r="B82">
        <v>81</v>
      </c>
      <c r="C82" t="s">
        <v>514</v>
      </c>
      <c r="D82">
        <v>70</v>
      </c>
      <c r="E82">
        <v>420</v>
      </c>
      <c r="F82">
        <v>42948</v>
      </c>
      <c r="G82">
        <v>478</v>
      </c>
      <c r="H82">
        <v>39</v>
      </c>
      <c r="I82">
        <v>35</v>
      </c>
      <c r="J82">
        <v>1</v>
      </c>
    </row>
    <row r="83" spans="1:10">
      <c r="A83" t="s">
        <v>29</v>
      </c>
      <c r="B83">
        <v>82</v>
      </c>
      <c r="C83" t="s">
        <v>515</v>
      </c>
      <c r="D83">
        <v>70</v>
      </c>
      <c r="E83">
        <v>420</v>
      </c>
      <c r="F83">
        <v>42948</v>
      </c>
      <c r="G83">
        <v>478</v>
      </c>
      <c r="H83">
        <v>39</v>
      </c>
      <c r="I83">
        <v>35</v>
      </c>
      <c r="J83">
        <v>1</v>
      </c>
    </row>
    <row r="84" spans="1:10">
      <c r="A84" t="s">
        <v>29</v>
      </c>
      <c r="B84">
        <v>83</v>
      </c>
      <c r="C84" t="s">
        <v>516</v>
      </c>
      <c r="D84">
        <v>72</v>
      </c>
      <c r="E84">
        <v>432</v>
      </c>
      <c r="F84">
        <v>44138</v>
      </c>
      <c r="G84">
        <v>501</v>
      </c>
      <c r="H84">
        <v>39</v>
      </c>
      <c r="I84">
        <v>36</v>
      </c>
      <c r="J84">
        <v>1</v>
      </c>
    </row>
    <row r="85" spans="1:10">
      <c r="A85" t="s">
        <v>29</v>
      </c>
      <c r="B85">
        <v>84</v>
      </c>
      <c r="C85" t="s">
        <v>517</v>
      </c>
      <c r="D85">
        <v>72</v>
      </c>
      <c r="E85">
        <v>432</v>
      </c>
      <c r="F85">
        <v>44138</v>
      </c>
      <c r="G85">
        <v>501</v>
      </c>
      <c r="H85">
        <v>39</v>
      </c>
      <c r="I85">
        <v>36</v>
      </c>
      <c r="J85">
        <v>1</v>
      </c>
    </row>
    <row r="86" spans="1:10">
      <c r="A86" t="s">
        <v>29</v>
      </c>
      <c r="B86">
        <v>85</v>
      </c>
      <c r="C86" t="s">
        <v>518</v>
      </c>
      <c r="D86">
        <v>74</v>
      </c>
      <c r="E86">
        <v>444</v>
      </c>
      <c r="F86">
        <v>45893</v>
      </c>
      <c r="G86">
        <v>519</v>
      </c>
      <c r="H86">
        <v>39</v>
      </c>
      <c r="I86">
        <v>37</v>
      </c>
      <c r="J86">
        <v>2</v>
      </c>
    </row>
    <row r="87" spans="1:10">
      <c r="A87" t="s">
        <v>29</v>
      </c>
      <c r="B87">
        <v>86</v>
      </c>
      <c r="C87" t="s">
        <v>519</v>
      </c>
      <c r="D87">
        <v>74</v>
      </c>
      <c r="E87">
        <v>444</v>
      </c>
      <c r="F87">
        <v>45893</v>
      </c>
      <c r="G87">
        <v>519</v>
      </c>
      <c r="H87">
        <v>39</v>
      </c>
      <c r="I87">
        <v>37</v>
      </c>
      <c r="J87">
        <v>2</v>
      </c>
    </row>
    <row r="88" spans="1:10">
      <c r="A88" t="s">
        <v>29</v>
      </c>
      <c r="B88">
        <v>87</v>
      </c>
      <c r="C88" t="s">
        <v>520</v>
      </c>
      <c r="D88">
        <v>76</v>
      </c>
      <c r="E88">
        <v>456</v>
      </c>
      <c r="F88">
        <v>46995</v>
      </c>
      <c r="G88">
        <v>527</v>
      </c>
      <c r="H88">
        <v>41</v>
      </c>
      <c r="I88">
        <v>38</v>
      </c>
      <c r="J88">
        <v>2</v>
      </c>
    </row>
    <row r="89" spans="1:10">
      <c r="A89" t="s">
        <v>29</v>
      </c>
      <c r="B89">
        <v>88</v>
      </c>
      <c r="C89" t="s">
        <v>521</v>
      </c>
      <c r="D89">
        <v>76</v>
      </c>
      <c r="E89">
        <v>456</v>
      </c>
      <c r="F89">
        <v>46995</v>
      </c>
      <c r="G89">
        <v>527</v>
      </c>
      <c r="H89">
        <v>41</v>
      </c>
      <c r="I89">
        <v>38</v>
      </c>
      <c r="J89">
        <v>2</v>
      </c>
    </row>
    <row r="90" spans="1:10">
      <c r="A90" t="s">
        <v>29</v>
      </c>
      <c r="B90">
        <v>89</v>
      </c>
      <c r="C90" t="s">
        <v>522</v>
      </c>
      <c r="D90">
        <v>76</v>
      </c>
      <c r="E90">
        <v>456</v>
      </c>
      <c r="F90">
        <v>46995</v>
      </c>
      <c r="G90">
        <v>527</v>
      </c>
      <c r="H90">
        <v>41</v>
      </c>
      <c r="I90">
        <v>38</v>
      </c>
      <c r="J90">
        <v>2</v>
      </c>
    </row>
    <row r="91" spans="1:10">
      <c r="A91" t="s">
        <v>29</v>
      </c>
      <c r="B91">
        <v>90</v>
      </c>
      <c r="C91" t="s">
        <v>523</v>
      </c>
      <c r="D91">
        <v>78</v>
      </c>
      <c r="E91">
        <v>468</v>
      </c>
      <c r="F91">
        <v>48247</v>
      </c>
      <c r="G91">
        <v>527</v>
      </c>
      <c r="H91">
        <v>43</v>
      </c>
      <c r="I91">
        <v>39</v>
      </c>
      <c r="J91">
        <v>2</v>
      </c>
    </row>
    <row r="92" spans="1:10">
      <c r="A92" t="s">
        <v>30</v>
      </c>
      <c r="B92">
        <v>1</v>
      </c>
      <c r="C92" t="s">
        <v>434</v>
      </c>
      <c r="D92">
        <v>2</v>
      </c>
      <c r="E92">
        <v>12</v>
      </c>
      <c r="F92">
        <v>1409</v>
      </c>
      <c r="G92">
        <v>82</v>
      </c>
      <c r="H92">
        <v>1</v>
      </c>
      <c r="I92">
        <v>1</v>
      </c>
      <c r="J92">
        <v>0</v>
      </c>
    </row>
    <row r="93" spans="1:10">
      <c r="A93" t="s">
        <v>30</v>
      </c>
      <c r="B93">
        <v>2</v>
      </c>
      <c r="C93" t="s">
        <v>435</v>
      </c>
      <c r="D93">
        <v>2</v>
      </c>
      <c r="E93">
        <v>12</v>
      </c>
      <c r="F93">
        <v>1409</v>
      </c>
      <c r="G93">
        <v>82</v>
      </c>
      <c r="H93">
        <v>1</v>
      </c>
      <c r="I93">
        <v>1</v>
      </c>
      <c r="J93">
        <v>0</v>
      </c>
    </row>
    <row r="94" spans="1:10">
      <c r="A94" t="s">
        <v>30</v>
      </c>
      <c r="B94">
        <v>3</v>
      </c>
      <c r="C94" t="s">
        <v>436</v>
      </c>
      <c r="D94">
        <v>4</v>
      </c>
      <c r="E94">
        <v>24</v>
      </c>
      <c r="F94">
        <v>2450</v>
      </c>
      <c r="G94">
        <v>84</v>
      </c>
      <c r="H94">
        <v>4</v>
      </c>
      <c r="I94">
        <v>2</v>
      </c>
      <c r="J94">
        <v>0</v>
      </c>
    </row>
    <row r="95" spans="1:10">
      <c r="A95" t="s">
        <v>30</v>
      </c>
      <c r="B95">
        <v>4</v>
      </c>
      <c r="C95" t="s">
        <v>437</v>
      </c>
      <c r="D95">
        <v>4</v>
      </c>
      <c r="E95">
        <v>24</v>
      </c>
      <c r="F95">
        <v>2450</v>
      </c>
      <c r="G95">
        <v>84</v>
      </c>
      <c r="H95">
        <v>4</v>
      </c>
      <c r="I95">
        <v>2</v>
      </c>
      <c r="J95">
        <v>0</v>
      </c>
    </row>
    <row r="96" spans="1:10">
      <c r="A96" t="s">
        <v>30</v>
      </c>
      <c r="B96">
        <v>5</v>
      </c>
      <c r="C96" t="s">
        <v>438</v>
      </c>
      <c r="D96">
        <v>6</v>
      </c>
      <c r="E96">
        <v>36</v>
      </c>
      <c r="F96">
        <v>4075</v>
      </c>
      <c r="G96">
        <v>119</v>
      </c>
      <c r="H96">
        <v>5</v>
      </c>
      <c r="I96">
        <v>3</v>
      </c>
      <c r="J96">
        <v>0</v>
      </c>
    </row>
    <row r="97" spans="1:10">
      <c r="A97" t="s">
        <v>30</v>
      </c>
      <c r="B97">
        <v>6</v>
      </c>
      <c r="C97" t="s">
        <v>439</v>
      </c>
      <c r="D97">
        <v>6</v>
      </c>
      <c r="E97">
        <v>36</v>
      </c>
      <c r="F97">
        <v>4075</v>
      </c>
      <c r="G97">
        <v>119</v>
      </c>
      <c r="H97">
        <v>5</v>
      </c>
      <c r="I97">
        <v>3</v>
      </c>
      <c r="J97">
        <v>0</v>
      </c>
    </row>
    <row r="98" spans="1:10">
      <c r="A98" t="s">
        <v>30</v>
      </c>
      <c r="B98">
        <v>7</v>
      </c>
      <c r="C98" t="s">
        <v>440</v>
      </c>
      <c r="D98">
        <v>8</v>
      </c>
      <c r="E98">
        <v>48</v>
      </c>
      <c r="F98">
        <v>5385</v>
      </c>
      <c r="G98">
        <v>121</v>
      </c>
      <c r="H98">
        <v>7</v>
      </c>
      <c r="I98">
        <v>4</v>
      </c>
      <c r="J98">
        <v>0</v>
      </c>
    </row>
    <row r="99" spans="1:10">
      <c r="A99" t="s">
        <v>30</v>
      </c>
      <c r="B99">
        <v>8</v>
      </c>
      <c r="C99" t="s">
        <v>441</v>
      </c>
      <c r="D99">
        <v>10</v>
      </c>
      <c r="E99">
        <v>60</v>
      </c>
      <c r="F99">
        <v>6953</v>
      </c>
      <c r="G99">
        <v>136</v>
      </c>
      <c r="H99">
        <v>9</v>
      </c>
      <c r="I99">
        <v>5</v>
      </c>
      <c r="J99">
        <v>0</v>
      </c>
    </row>
    <row r="100" spans="1:10">
      <c r="A100" t="s">
        <v>30</v>
      </c>
      <c r="B100">
        <v>9</v>
      </c>
      <c r="C100" t="s">
        <v>442</v>
      </c>
      <c r="D100">
        <v>10</v>
      </c>
      <c r="E100">
        <v>60</v>
      </c>
      <c r="F100">
        <v>6953</v>
      </c>
      <c r="G100">
        <v>136</v>
      </c>
      <c r="H100">
        <v>9</v>
      </c>
      <c r="I100">
        <v>5</v>
      </c>
      <c r="J100">
        <v>0</v>
      </c>
    </row>
    <row r="101" spans="1:10">
      <c r="A101" t="s">
        <v>30</v>
      </c>
      <c r="B101">
        <v>10</v>
      </c>
      <c r="C101" t="s">
        <v>443</v>
      </c>
      <c r="D101">
        <v>12</v>
      </c>
      <c r="E101">
        <v>72</v>
      </c>
      <c r="F101">
        <v>9018</v>
      </c>
      <c r="G101">
        <v>166</v>
      </c>
      <c r="H101">
        <v>11</v>
      </c>
      <c r="I101">
        <v>6</v>
      </c>
      <c r="J101">
        <v>0</v>
      </c>
    </row>
    <row r="102" spans="1:10">
      <c r="A102" t="s">
        <v>30</v>
      </c>
      <c r="B102">
        <v>11</v>
      </c>
      <c r="C102" t="s">
        <v>444</v>
      </c>
      <c r="D102">
        <v>12</v>
      </c>
      <c r="E102">
        <v>72</v>
      </c>
      <c r="F102">
        <v>9018</v>
      </c>
      <c r="G102">
        <v>166</v>
      </c>
      <c r="H102">
        <v>11</v>
      </c>
      <c r="I102">
        <v>6</v>
      </c>
      <c r="J102">
        <v>0</v>
      </c>
    </row>
    <row r="103" spans="1:10">
      <c r="A103" t="s">
        <v>30</v>
      </c>
      <c r="B103">
        <v>12</v>
      </c>
      <c r="C103" t="s">
        <v>445</v>
      </c>
      <c r="D103">
        <v>14</v>
      </c>
      <c r="E103">
        <v>84</v>
      </c>
      <c r="F103">
        <v>11041</v>
      </c>
      <c r="G103">
        <v>211</v>
      </c>
      <c r="H103">
        <v>12</v>
      </c>
      <c r="I103">
        <v>7</v>
      </c>
      <c r="J103">
        <v>0</v>
      </c>
    </row>
    <row r="104" spans="1:10">
      <c r="A104" t="s">
        <v>30</v>
      </c>
      <c r="B104">
        <v>13</v>
      </c>
      <c r="C104" t="s">
        <v>446</v>
      </c>
      <c r="D104">
        <v>14</v>
      </c>
      <c r="E104">
        <v>84</v>
      </c>
      <c r="F104">
        <v>11041</v>
      </c>
      <c r="G104">
        <v>211</v>
      </c>
      <c r="H104">
        <v>12</v>
      </c>
      <c r="I104">
        <v>7</v>
      </c>
      <c r="J104">
        <v>0</v>
      </c>
    </row>
    <row r="105" spans="1:10">
      <c r="A105" t="s">
        <v>30</v>
      </c>
      <c r="B105">
        <v>14</v>
      </c>
      <c r="C105" t="s">
        <v>447</v>
      </c>
      <c r="D105">
        <v>16</v>
      </c>
      <c r="E105">
        <v>96</v>
      </c>
      <c r="F105">
        <v>12294</v>
      </c>
      <c r="G105">
        <v>231</v>
      </c>
      <c r="H105">
        <v>13</v>
      </c>
      <c r="I105">
        <v>8</v>
      </c>
      <c r="J105">
        <v>0</v>
      </c>
    </row>
    <row r="106" spans="1:10">
      <c r="A106" t="s">
        <v>30</v>
      </c>
      <c r="B106">
        <v>15</v>
      </c>
      <c r="C106" t="s">
        <v>448</v>
      </c>
      <c r="D106">
        <v>18</v>
      </c>
      <c r="E106">
        <v>108</v>
      </c>
      <c r="F106">
        <v>14333</v>
      </c>
      <c r="G106">
        <v>243</v>
      </c>
      <c r="H106">
        <v>15</v>
      </c>
      <c r="I106">
        <v>9</v>
      </c>
      <c r="J106">
        <v>0</v>
      </c>
    </row>
    <row r="107" spans="1:10">
      <c r="A107" t="s">
        <v>30</v>
      </c>
      <c r="B107">
        <v>16</v>
      </c>
      <c r="C107" t="s">
        <v>449</v>
      </c>
      <c r="D107">
        <v>18</v>
      </c>
      <c r="E107">
        <v>108</v>
      </c>
      <c r="F107">
        <v>14333</v>
      </c>
      <c r="G107">
        <v>243</v>
      </c>
      <c r="H107">
        <v>15</v>
      </c>
      <c r="I107">
        <v>9</v>
      </c>
      <c r="J107">
        <v>0</v>
      </c>
    </row>
    <row r="108" spans="1:10">
      <c r="A108" t="s">
        <v>30</v>
      </c>
      <c r="B108">
        <v>17</v>
      </c>
      <c r="C108" t="s">
        <v>450</v>
      </c>
      <c r="D108">
        <v>20</v>
      </c>
      <c r="E108">
        <v>120</v>
      </c>
      <c r="F108">
        <v>16090</v>
      </c>
      <c r="G108">
        <v>256</v>
      </c>
      <c r="H108">
        <v>18</v>
      </c>
      <c r="I108">
        <v>10</v>
      </c>
      <c r="J108">
        <v>0</v>
      </c>
    </row>
    <row r="109" spans="1:10">
      <c r="A109" t="s">
        <v>30</v>
      </c>
      <c r="B109">
        <v>18</v>
      </c>
      <c r="C109" t="s">
        <v>451</v>
      </c>
      <c r="D109">
        <v>20</v>
      </c>
      <c r="E109">
        <v>120</v>
      </c>
      <c r="F109">
        <v>16090</v>
      </c>
      <c r="G109">
        <v>256</v>
      </c>
      <c r="H109">
        <v>18</v>
      </c>
      <c r="I109">
        <v>10</v>
      </c>
      <c r="J109">
        <v>0</v>
      </c>
    </row>
    <row r="110" spans="1:10">
      <c r="A110" t="s">
        <v>30</v>
      </c>
      <c r="B110">
        <v>19</v>
      </c>
      <c r="C110" t="s">
        <v>452</v>
      </c>
      <c r="D110">
        <v>22</v>
      </c>
      <c r="E110">
        <v>132</v>
      </c>
      <c r="F110">
        <v>19170</v>
      </c>
      <c r="G110">
        <v>281</v>
      </c>
      <c r="H110">
        <v>20</v>
      </c>
      <c r="I110">
        <v>11</v>
      </c>
      <c r="J110">
        <v>1</v>
      </c>
    </row>
    <row r="111" spans="1:10">
      <c r="A111" t="s">
        <v>30</v>
      </c>
      <c r="B111">
        <v>20</v>
      </c>
      <c r="C111" t="s">
        <v>453</v>
      </c>
      <c r="D111">
        <v>22</v>
      </c>
      <c r="E111">
        <v>132</v>
      </c>
      <c r="F111">
        <v>19170</v>
      </c>
      <c r="G111">
        <v>281</v>
      </c>
      <c r="H111">
        <v>20</v>
      </c>
      <c r="I111">
        <v>11</v>
      </c>
      <c r="J111">
        <v>1</v>
      </c>
    </row>
    <row r="112" spans="1:10">
      <c r="A112" t="s">
        <v>30</v>
      </c>
      <c r="B112">
        <v>21</v>
      </c>
      <c r="C112" t="s">
        <v>454</v>
      </c>
      <c r="D112">
        <v>24</v>
      </c>
      <c r="E112">
        <v>144</v>
      </c>
      <c r="F112">
        <v>21356</v>
      </c>
      <c r="G112">
        <v>313</v>
      </c>
      <c r="H112">
        <v>23</v>
      </c>
      <c r="I112">
        <v>12</v>
      </c>
      <c r="J112">
        <v>1</v>
      </c>
    </row>
    <row r="113" spans="1:10">
      <c r="A113" t="s">
        <v>30</v>
      </c>
      <c r="B113">
        <v>22</v>
      </c>
      <c r="C113" t="s">
        <v>455</v>
      </c>
      <c r="D113">
        <v>26</v>
      </c>
      <c r="E113">
        <v>156</v>
      </c>
      <c r="F113">
        <v>22571</v>
      </c>
      <c r="G113">
        <v>316</v>
      </c>
      <c r="H113">
        <v>24</v>
      </c>
      <c r="I113">
        <v>13</v>
      </c>
      <c r="J113">
        <v>1</v>
      </c>
    </row>
    <row r="114" spans="1:10">
      <c r="A114" t="s">
        <v>30</v>
      </c>
      <c r="B114">
        <v>23</v>
      </c>
      <c r="C114" t="s">
        <v>456</v>
      </c>
      <c r="D114">
        <v>26</v>
      </c>
      <c r="E114">
        <v>156</v>
      </c>
      <c r="F114">
        <v>22571</v>
      </c>
      <c r="G114">
        <v>316</v>
      </c>
      <c r="H114">
        <v>24</v>
      </c>
      <c r="I114">
        <v>13</v>
      </c>
      <c r="J114">
        <v>1</v>
      </c>
    </row>
    <row r="115" spans="1:10">
      <c r="A115" t="s">
        <v>30</v>
      </c>
      <c r="B115">
        <v>24</v>
      </c>
      <c r="C115" t="s">
        <v>457</v>
      </c>
      <c r="D115">
        <v>28</v>
      </c>
      <c r="E115">
        <v>168</v>
      </c>
      <c r="F115">
        <v>24471</v>
      </c>
      <c r="G115">
        <v>349</v>
      </c>
      <c r="H115">
        <v>27</v>
      </c>
      <c r="I115">
        <v>14</v>
      </c>
      <c r="J115">
        <v>1</v>
      </c>
    </row>
    <row r="116" spans="1:10">
      <c r="A116" t="s">
        <v>30</v>
      </c>
      <c r="B116">
        <v>25</v>
      </c>
      <c r="C116" t="s">
        <v>458</v>
      </c>
      <c r="D116">
        <v>28</v>
      </c>
      <c r="E116">
        <v>168</v>
      </c>
      <c r="F116">
        <v>24471</v>
      </c>
      <c r="G116">
        <v>349</v>
      </c>
      <c r="H116">
        <v>27</v>
      </c>
      <c r="I116">
        <v>14</v>
      </c>
      <c r="J116">
        <v>1</v>
      </c>
    </row>
    <row r="117" spans="1:10">
      <c r="A117" t="s">
        <v>30</v>
      </c>
      <c r="B117">
        <v>26</v>
      </c>
      <c r="C117" t="s">
        <v>459</v>
      </c>
      <c r="D117">
        <v>30</v>
      </c>
      <c r="E117">
        <v>180</v>
      </c>
      <c r="F117">
        <v>26388</v>
      </c>
      <c r="G117">
        <v>382</v>
      </c>
      <c r="H117">
        <v>28</v>
      </c>
      <c r="I117">
        <v>15</v>
      </c>
      <c r="J117">
        <v>1</v>
      </c>
    </row>
    <row r="118" spans="1:10">
      <c r="A118" t="s">
        <v>30</v>
      </c>
      <c r="B118">
        <v>27</v>
      </c>
      <c r="C118" t="s">
        <v>460</v>
      </c>
      <c r="D118">
        <v>30</v>
      </c>
      <c r="E118">
        <v>180</v>
      </c>
      <c r="F118">
        <v>26388</v>
      </c>
      <c r="G118">
        <v>382</v>
      </c>
      <c r="H118">
        <v>28</v>
      </c>
      <c r="I118">
        <v>15</v>
      </c>
      <c r="J118">
        <v>1</v>
      </c>
    </row>
    <row r="119" spans="1:10">
      <c r="A119" t="s">
        <v>30</v>
      </c>
      <c r="B119">
        <v>28</v>
      </c>
      <c r="C119" t="s">
        <v>461</v>
      </c>
      <c r="D119">
        <v>32</v>
      </c>
      <c r="E119">
        <v>192</v>
      </c>
      <c r="F119">
        <v>27821</v>
      </c>
      <c r="G119">
        <v>384</v>
      </c>
      <c r="H119">
        <v>30</v>
      </c>
      <c r="I119">
        <v>16</v>
      </c>
      <c r="J119">
        <v>1</v>
      </c>
    </row>
    <row r="120" spans="1:10">
      <c r="A120" t="s">
        <v>30</v>
      </c>
      <c r="B120">
        <v>29</v>
      </c>
      <c r="C120" t="s">
        <v>462</v>
      </c>
      <c r="D120">
        <v>34</v>
      </c>
      <c r="E120">
        <v>204</v>
      </c>
      <c r="F120">
        <v>29612</v>
      </c>
      <c r="G120">
        <v>409</v>
      </c>
      <c r="H120">
        <v>30</v>
      </c>
      <c r="I120">
        <v>17</v>
      </c>
      <c r="J120">
        <v>1</v>
      </c>
    </row>
    <row r="121" spans="1:10">
      <c r="A121" t="s">
        <v>30</v>
      </c>
      <c r="B121">
        <v>30</v>
      </c>
      <c r="C121" t="s">
        <v>463</v>
      </c>
      <c r="D121">
        <v>34</v>
      </c>
      <c r="E121">
        <v>204</v>
      </c>
      <c r="F121">
        <v>29612</v>
      </c>
      <c r="G121">
        <v>409</v>
      </c>
      <c r="H121">
        <v>30</v>
      </c>
      <c r="I121">
        <v>17</v>
      </c>
      <c r="J121">
        <v>1</v>
      </c>
    </row>
    <row r="122" spans="1:10">
      <c r="A122" t="s">
        <v>30</v>
      </c>
      <c r="B122">
        <v>31</v>
      </c>
      <c r="C122" t="s">
        <v>464</v>
      </c>
      <c r="D122">
        <v>36</v>
      </c>
      <c r="E122">
        <v>216</v>
      </c>
      <c r="F122">
        <v>32047</v>
      </c>
      <c r="G122">
        <v>451</v>
      </c>
      <c r="H122">
        <v>32</v>
      </c>
      <c r="I122">
        <v>18</v>
      </c>
      <c r="J122">
        <v>1</v>
      </c>
    </row>
    <row r="123" spans="1:10">
      <c r="A123" t="s">
        <v>30</v>
      </c>
      <c r="B123">
        <v>32</v>
      </c>
      <c r="C123" t="s">
        <v>465</v>
      </c>
      <c r="D123">
        <v>36</v>
      </c>
      <c r="E123">
        <v>216</v>
      </c>
      <c r="F123">
        <v>32047</v>
      </c>
      <c r="G123">
        <v>451</v>
      </c>
      <c r="H123">
        <v>32</v>
      </c>
      <c r="I123">
        <v>18</v>
      </c>
      <c r="J123">
        <v>1</v>
      </c>
    </row>
    <row r="124" spans="1:10">
      <c r="A124" t="s">
        <v>30</v>
      </c>
      <c r="B124">
        <v>33</v>
      </c>
      <c r="C124" t="s">
        <v>466</v>
      </c>
      <c r="D124">
        <v>38</v>
      </c>
      <c r="E124">
        <v>228</v>
      </c>
      <c r="F124">
        <v>33702</v>
      </c>
      <c r="G124">
        <v>461</v>
      </c>
      <c r="H124">
        <v>35</v>
      </c>
      <c r="I124">
        <v>19</v>
      </c>
      <c r="J124">
        <v>1</v>
      </c>
    </row>
    <row r="125" spans="1:10">
      <c r="A125" t="s">
        <v>30</v>
      </c>
      <c r="B125">
        <v>34</v>
      </c>
      <c r="C125" t="s">
        <v>467</v>
      </c>
      <c r="D125">
        <v>38</v>
      </c>
      <c r="E125">
        <v>228</v>
      </c>
      <c r="F125">
        <v>33702</v>
      </c>
      <c r="G125">
        <v>461</v>
      </c>
      <c r="H125">
        <v>35</v>
      </c>
      <c r="I125">
        <v>19</v>
      </c>
      <c r="J125">
        <v>1</v>
      </c>
    </row>
    <row r="126" spans="1:10">
      <c r="A126" t="s">
        <v>30</v>
      </c>
      <c r="B126">
        <v>35</v>
      </c>
      <c r="C126" t="s">
        <v>468</v>
      </c>
      <c r="D126">
        <v>40</v>
      </c>
      <c r="E126">
        <v>240</v>
      </c>
      <c r="F126">
        <v>36156</v>
      </c>
      <c r="G126">
        <v>476</v>
      </c>
      <c r="H126">
        <v>37</v>
      </c>
      <c r="I126">
        <v>20</v>
      </c>
      <c r="J126">
        <v>1</v>
      </c>
    </row>
    <row r="127" spans="1:10">
      <c r="A127" t="s">
        <v>30</v>
      </c>
      <c r="B127">
        <v>36</v>
      </c>
      <c r="C127" t="s">
        <v>469</v>
      </c>
      <c r="D127">
        <v>42</v>
      </c>
      <c r="E127">
        <v>252</v>
      </c>
      <c r="F127">
        <v>37592</v>
      </c>
      <c r="G127">
        <v>499</v>
      </c>
      <c r="H127">
        <v>38</v>
      </c>
      <c r="I127">
        <v>21</v>
      </c>
      <c r="J127">
        <v>1</v>
      </c>
    </row>
    <row r="128" spans="1:10">
      <c r="A128" t="s">
        <v>30</v>
      </c>
      <c r="B128">
        <v>37</v>
      </c>
      <c r="C128" t="s">
        <v>470</v>
      </c>
      <c r="D128">
        <v>42</v>
      </c>
      <c r="E128">
        <v>252</v>
      </c>
      <c r="F128">
        <v>37592</v>
      </c>
      <c r="G128">
        <v>499</v>
      </c>
      <c r="H128">
        <v>38</v>
      </c>
      <c r="I128">
        <v>21</v>
      </c>
      <c r="J128">
        <v>1</v>
      </c>
    </row>
    <row r="129" spans="1:10">
      <c r="A129" t="s">
        <v>30</v>
      </c>
      <c r="B129">
        <v>38</v>
      </c>
      <c r="C129" t="s">
        <v>471</v>
      </c>
      <c r="D129">
        <v>44</v>
      </c>
      <c r="E129">
        <v>264</v>
      </c>
      <c r="F129">
        <v>39918</v>
      </c>
      <c r="G129">
        <v>519</v>
      </c>
      <c r="H129">
        <v>40</v>
      </c>
      <c r="I129">
        <v>22</v>
      </c>
      <c r="J129">
        <v>2</v>
      </c>
    </row>
    <row r="130" spans="1:10">
      <c r="A130" t="s">
        <v>30</v>
      </c>
      <c r="B130">
        <v>39</v>
      </c>
      <c r="C130" t="s">
        <v>472</v>
      </c>
      <c r="D130">
        <v>44</v>
      </c>
      <c r="E130">
        <v>264</v>
      </c>
      <c r="F130">
        <v>39918</v>
      </c>
      <c r="G130">
        <v>519</v>
      </c>
      <c r="H130">
        <v>40</v>
      </c>
      <c r="I130">
        <v>22</v>
      </c>
      <c r="J130">
        <v>2</v>
      </c>
    </row>
    <row r="131" spans="1:10">
      <c r="A131" t="s">
        <v>30</v>
      </c>
      <c r="B131">
        <v>40</v>
      </c>
      <c r="C131" t="s">
        <v>473</v>
      </c>
      <c r="D131">
        <v>46</v>
      </c>
      <c r="E131">
        <v>276</v>
      </c>
      <c r="F131">
        <v>41397</v>
      </c>
      <c r="G131">
        <v>529</v>
      </c>
      <c r="H131">
        <v>41</v>
      </c>
      <c r="I131">
        <v>23</v>
      </c>
      <c r="J131">
        <v>2</v>
      </c>
    </row>
    <row r="132" spans="1:10">
      <c r="A132" t="s">
        <v>30</v>
      </c>
      <c r="B132">
        <v>41</v>
      </c>
      <c r="C132" t="s">
        <v>474</v>
      </c>
      <c r="D132">
        <v>46</v>
      </c>
      <c r="E132">
        <v>276</v>
      </c>
      <c r="F132">
        <v>41397</v>
      </c>
      <c r="G132">
        <v>529</v>
      </c>
      <c r="H132">
        <v>41</v>
      </c>
      <c r="I132">
        <v>23</v>
      </c>
      <c r="J132">
        <v>2</v>
      </c>
    </row>
    <row r="133" spans="1:10">
      <c r="A133" t="s">
        <v>30</v>
      </c>
      <c r="B133">
        <v>42</v>
      </c>
      <c r="C133" t="s">
        <v>475</v>
      </c>
      <c r="D133">
        <v>48</v>
      </c>
      <c r="E133">
        <v>288</v>
      </c>
      <c r="F133">
        <v>42237</v>
      </c>
      <c r="G133">
        <v>534</v>
      </c>
      <c r="H133">
        <v>42</v>
      </c>
      <c r="I133">
        <v>24</v>
      </c>
      <c r="J133">
        <v>2</v>
      </c>
    </row>
    <row r="134" spans="1:10">
      <c r="A134" t="s">
        <v>30</v>
      </c>
      <c r="B134">
        <v>43</v>
      </c>
      <c r="C134" t="s">
        <v>476</v>
      </c>
      <c r="D134">
        <v>50</v>
      </c>
      <c r="E134">
        <v>300</v>
      </c>
      <c r="F134">
        <v>43862</v>
      </c>
      <c r="G134">
        <v>541</v>
      </c>
      <c r="H134">
        <v>44</v>
      </c>
      <c r="I134">
        <v>25</v>
      </c>
      <c r="J134">
        <v>2</v>
      </c>
    </row>
    <row r="135" spans="1:10">
      <c r="A135" t="s">
        <v>30</v>
      </c>
      <c r="B135">
        <v>44</v>
      </c>
      <c r="C135" t="s">
        <v>477</v>
      </c>
      <c r="D135">
        <v>50</v>
      </c>
      <c r="E135">
        <v>300</v>
      </c>
      <c r="F135">
        <v>43862</v>
      </c>
      <c r="G135">
        <v>541</v>
      </c>
      <c r="H135">
        <v>44</v>
      </c>
      <c r="I135">
        <v>25</v>
      </c>
      <c r="J135">
        <v>2</v>
      </c>
    </row>
    <row r="136" spans="1:10">
      <c r="A136" t="s">
        <v>30</v>
      </c>
      <c r="B136">
        <v>45</v>
      </c>
      <c r="C136" t="s">
        <v>478</v>
      </c>
      <c r="D136">
        <v>52</v>
      </c>
      <c r="E136">
        <v>312</v>
      </c>
      <c r="F136">
        <v>46017</v>
      </c>
      <c r="G136">
        <v>556</v>
      </c>
      <c r="H136">
        <v>47</v>
      </c>
      <c r="I136">
        <v>26</v>
      </c>
      <c r="J136">
        <v>2</v>
      </c>
    </row>
    <row r="137" spans="1:10">
      <c r="A137" t="s">
        <v>30</v>
      </c>
      <c r="B137">
        <v>46</v>
      </c>
      <c r="C137" t="s">
        <v>479</v>
      </c>
      <c r="D137">
        <v>52</v>
      </c>
      <c r="E137">
        <v>312</v>
      </c>
      <c r="F137">
        <v>46017</v>
      </c>
      <c r="G137">
        <v>556</v>
      </c>
      <c r="H137">
        <v>47</v>
      </c>
      <c r="I137">
        <v>26</v>
      </c>
      <c r="J137">
        <v>2</v>
      </c>
    </row>
    <row r="138" spans="1:10">
      <c r="A138" t="s">
        <v>30</v>
      </c>
      <c r="B138">
        <v>47</v>
      </c>
      <c r="C138" t="s">
        <v>480</v>
      </c>
      <c r="D138">
        <v>54</v>
      </c>
      <c r="E138">
        <v>324</v>
      </c>
      <c r="F138">
        <v>48565</v>
      </c>
      <c r="G138">
        <v>589</v>
      </c>
      <c r="H138">
        <v>49</v>
      </c>
      <c r="I138">
        <v>27</v>
      </c>
      <c r="J138">
        <v>2</v>
      </c>
    </row>
    <row r="139" spans="1:10">
      <c r="A139" t="s">
        <v>30</v>
      </c>
      <c r="B139">
        <v>48</v>
      </c>
      <c r="C139" t="s">
        <v>481</v>
      </c>
      <c r="D139">
        <v>54</v>
      </c>
      <c r="E139">
        <v>324</v>
      </c>
      <c r="F139">
        <v>48565</v>
      </c>
      <c r="G139">
        <v>589</v>
      </c>
      <c r="H139">
        <v>49</v>
      </c>
      <c r="I139">
        <v>27</v>
      </c>
      <c r="J139">
        <v>2</v>
      </c>
    </row>
    <row r="140" spans="1:10">
      <c r="A140" t="s">
        <v>30</v>
      </c>
      <c r="B140">
        <v>49</v>
      </c>
      <c r="C140" t="s">
        <v>482</v>
      </c>
      <c r="D140">
        <v>56</v>
      </c>
      <c r="E140">
        <v>336</v>
      </c>
      <c r="F140">
        <v>51684</v>
      </c>
      <c r="G140">
        <v>629</v>
      </c>
      <c r="H140">
        <v>49</v>
      </c>
      <c r="I140">
        <v>28</v>
      </c>
      <c r="J140">
        <v>2</v>
      </c>
    </row>
    <row r="141" spans="1:10">
      <c r="A141" t="s">
        <v>30</v>
      </c>
      <c r="B141">
        <v>50</v>
      </c>
      <c r="C141" t="s">
        <v>483</v>
      </c>
      <c r="D141">
        <v>58</v>
      </c>
      <c r="E141">
        <v>348</v>
      </c>
      <c r="F141">
        <v>52619</v>
      </c>
      <c r="G141">
        <v>631</v>
      </c>
      <c r="H141">
        <v>50</v>
      </c>
      <c r="I141">
        <v>29</v>
      </c>
      <c r="J141">
        <v>2</v>
      </c>
    </row>
    <row r="142" spans="1:10">
      <c r="A142" t="s">
        <v>30</v>
      </c>
      <c r="B142">
        <v>51</v>
      </c>
      <c r="C142" t="s">
        <v>484</v>
      </c>
      <c r="D142">
        <v>58</v>
      </c>
      <c r="E142">
        <v>348</v>
      </c>
      <c r="F142">
        <v>52619</v>
      </c>
      <c r="G142">
        <v>631</v>
      </c>
      <c r="H142">
        <v>50</v>
      </c>
      <c r="I142">
        <v>29</v>
      </c>
      <c r="J142">
        <v>2</v>
      </c>
    </row>
    <row r="143" spans="1:10">
      <c r="A143" t="s">
        <v>30</v>
      </c>
      <c r="B143">
        <v>52</v>
      </c>
      <c r="C143" t="s">
        <v>485</v>
      </c>
      <c r="D143">
        <v>60</v>
      </c>
      <c r="E143">
        <v>360</v>
      </c>
      <c r="F143">
        <v>54303</v>
      </c>
      <c r="G143">
        <v>636</v>
      </c>
      <c r="H143">
        <v>52</v>
      </c>
      <c r="I143">
        <v>30</v>
      </c>
      <c r="J143">
        <v>2</v>
      </c>
    </row>
    <row r="144" spans="1:10">
      <c r="A144" t="s">
        <v>30</v>
      </c>
      <c r="B144">
        <v>53</v>
      </c>
      <c r="C144" t="s">
        <v>486</v>
      </c>
      <c r="D144">
        <v>60</v>
      </c>
      <c r="E144">
        <v>360</v>
      </c>
      <c r="F144">
        <v>54303</v>
      </c>
      <c r="G144">
        <v>636</v>
      </c>
      <c r="H144">
        <v>52</v>
      </c>
      <c r="I144">
        <v>30</v>
      </c>
      <c r="J144">
        <v>2</v>
      </c>
    </row>
    <row r="145" spans="1:10">
      <c r="A145" t="s">
        <v>30</v>
      </c>
      <c r="B145">
        <v>54</v>
      </c>
      <c r="C145" t="s">
        <v>487</v>
      </c>
      <c r="D145">
        <v>62</v>
      </c>
      <c r="E145">
        <v>372</v>
      </c>
      <c r="F145">
        <v>55864</v>
      </c>
      <c r="G145">
        <v>654</v>
      </c>
      <c r="H145">
        <v>53</v>
      </c>
      <c r="I145">
        <v>31</v>
      </c>
      <c r="J145">
        <v>2</v>
      </c>
    </row>
    <row r="146" spans="1:10">
      <c r="A146" t="s">
        <v>30</v>
      </c>
      <c r="B146">
        <v>55</v>
      </c>
      <c r="C146" t="s">
        <v>488</v>
      </c>
      <c r="D146">
        <v>62</v>
      </c>
      <c r="E146">
        <v>372</v>
      </c>
      <c r="F146">
        <v>55864</v>
      </c>
      <c r="G146">
        <v>654</v>
      </c>
      <c r="H146">
        <v>53</v>
      </c>
      <c r="I146">
        <v>31</v>
      </c>
      <c r="J146">
        <v>2</v>
      </c>
    </row>
    <row r="147" spans="1:10">
      <c r="A147" t="s">
        <v>30</v>
      </c>
      <c r="B147">
        <v>56</v>
      </c>
      <c r="C147" t="s">
        <v>489</v>
      </c>
      <c r="D147">
        <v>64</v>
      </c>
      <c r="E147">
        <v>384</v>
      </c>
      <c r="F147">
        <v>57203</v>
      </c>
      <c r="G147">
        <v>657</v>
      </c>
      <c r="H147">
        <v>54</v>
      </c>
      <c r="I147">
        <v>32</v>
      </c>
      <c r="J147">
        <v>2</v>
      </c>
    </row>
    <row r="148" spans="1:10">
      <c r="A148" t="s">
        <v>30</v>
      </c>
      <c r="B148">
        <v>57</v>
      </c>
      <c r="C148" t="s">
        <v>490</v>
      </c>
      <c r="D148">
        <v>66</v>
      </c>
      <c r="E148">
        <v>396</v>
      </c>
      <c r="F148">
        <v>61564</v>
      </c>
      <c r="G148">
        <v>675</v>
      </c>
      <c r="H148">
        <v>57</v>
      </c>
      <c r="I148">
        <v>33</v>
      </c>
      <c r="J148">
        <v>3</v>
      </c>
    </row>
    <row r="149" spans="1:10">
      <c r="A149" t="s">
        <v>30</v>
      </c>
      <c r="B149">
        <v>58</v>
      </c>
      <c r="C149" t="s">
        <v>491</v>
      </c>
      <c r="D149">
        <v>66</v>
      </c>
      <c r="E149">
        <v>396</v>
      </c>
      <c r="F149">
        <v>61564</v>
      </c>
      <c r="G149">
        <v>675</v>
      </c>
      <c r="H149">
        <v>57</v>
      </c>
      <c r="I149">
        <v>33</v>
      </c>
      <c r="J149">
        <v>3</v>
      </c>
    </row>
    <row r="150" spans="1:10">
      <c r="A150" t="s">
        <v>30</v>
      </c>
      <c r="B150">
        <v>59</v>
      </c>
      <c r="C150" t="s">
        <v>492</v>
      </c>
      <c r="D150">
        <v>68</v>
      </c>
      <c r="E150">
        <v>408</v>
      </c>
      <c r="F150">
        <v>63396</v>
      </c>
      <c r="G150">
        <v>680</v>
      </c>
      <c r="H150">
        <v>59</v>
      </c>
      <c r="I150">
        <v>34</v>
      </c>
      <c r="J150">
        <v>3</v>
      </c>
    </row>
    <row r="151" spans="1:10">
      <c r="A151" t="s">
        <v>30</v>
      </c>
      <c r="B151">
        <v>60</v>
      </c>
      <c r="C151" t="s">
        <v>493</v>
      </c>
      <c r="D151">
        <v>68</v>
      </c>
      <c r="E151">
        <v>408</v>
      </c>
      <c r="F151">
        <v>63396</v>
      </c>
      <c r="G151">
        <v>680</v>
      </c>
      <c r="H151">
        <v>59</v>
      </c>
      <c r="I151">
        <v>34</v>
      </c>
      <c r="J151">
        <v>3</v>
      </c>
    </row>
    <row r="152" spans="1:10">
      <c r="A152" t="s">
        <v>30</v>
      </c>
      <c r="B152">
        <v>61</v>
      </c>
      <c r="C152" t="s">
        <v>494</v>
      </c>
      <c r="D152">
        <v>70</v>
      </c>
      <c r="E152">
        <v>420</v>
      </c>
      <c r="F152">
        <v>65264</v>
      </c>
      <c r="G152">
        <v>711</v>
      </c>
      <c r="H152">
        <v>62</v>
      </c>
      <c r="I152">
        <v>35</v>
      </c>
      <c r="J152">
        <v>3</v>
      </c>
    </row>
    <row r="153" spans="1:10">
      <c r="A153" t="s">
        <v>30</v>
      </c>
      <c r="B153">
        <v>62</v>
      </c>
      <c r="C153" t="s">
        <v>495</v>
      </c>
      <c r="D153">
        <v>70</v>
      </c>
      <c r="E153">
        <v>420</v>
      </c>
      <c r="F153">
        <v>65264</v>
      </c>
      <c r="G153">
        <v>711</v>
      </c>
      <c r="H153">
        <v>62</v>
      </c>
      <c r="I153">
        <v>35</v>
      </c>
      <c r="J153">
        <v>3</v>
      </c>
    </row>
    <row r="154" spans="1:10">
      <c r="A154" t="s">
        <v>30</v>
      </c>
      <c r="B154">
        <v>63</v>
      </c>
      <c r="C154" t="s">
        <v>496</v>
      </c>
      <c r="D154">
        <v>72</v>
      </c>
      <c r="E154">
        <v>432</v>
      </c>
      <c r="F154">
        <v>67589</v>
      </c>
      <c r="G154">
        <v>736</v>
      </c>
      <c r="H154">
        <v>64</v>
      </c>
      <c r="I154">
        <v>36</v>
      </c>
      <c r="J154">
        <v>3</v>
      </c>
    </row>
    <row r="155" spans="1:10">
      <c r="A155" t="s">
        <v>30</v>
      </c>
      <c r="B155">
        <v>64</v>
      </c>
      <c r="C155" t="s">
        <v>497</v>
      </c>
      <c r="D155">
        <v>74</v>
      </c>
      <c r="E155">
        <v>444</v>
      </c>
      <c r="F155">
        <v>69083</v>
      </c>
      <c r="G155">
        <v>739</v>
      </c>
      <c r="H155">
        <v>66</v>
      </c>
      <c r="I155">
        <v>37</v>
      </c>
      <c r="J155">
        <v>3</v>
      </c>
    </row>
    <row r="156" spans="1:10">
      <c r="A156" t="s">
        <v>30</v>
      </c>
      <c r="B156">
        <v>65</v>
      </c>
      <c r="C156" t="s">
        <v>498</v>
      </c>
      <c r="D156">
        <v>74</v>
      </c>
      <c r="E156">
        <v>444</v>
      </c>
      <c r="F156">
        <v>69083</v>
      </c>
      <c r="G156">
        <v>739</v>
      </c>
      <c r="H156">
        <v>66</v>
      </c>
      <c r="I156">
        <v>37</v>
      </c>
      <c r="J156">
        <v>3</v>
      </c>
    </row>
    <row r="157" spans="1:10">
      <c r="A157" t="s">
        <v>30</v>
      </c>
      <c r="B157">
        <v>66</v>
      </c>
      <c r="C157" t="s">
        <v>499</v>
      </c>
      <c r="D157">
        <v>76</v>
      </c>
      <c r="E157">
        <v>456</v>
      </c>
      <c r="F157">
        <v>70203</v>
      </c>
      <c r="G157">
        <v>749</v>
      </c>
      <c r="H157">
        <v>68</v>
      </c>
      <c r="I157">
        <v>38</v>
      </c>
      <c r="J157">
        <v>3</v>
      </c>
    </row>
    <row r="158" spans="1:10">
      <c r="A158" t="s">
        <v>30</v>
      </c>
      <c r="B158">
        <v>67</v>
      </c>
      <c r="C158" t="s">
        <v>500</v>
      </c>
      <c r="D158">
        <v>76</v>
      </c>
      <c r="E158">
        <v>456</v>
      </c>
      <c r="F158">
        <v>70203</v>
      </c>
      <c r="G158">
        <v>749</v>
      </c>
      <c r="H158">
        <v>68</v>
      </c>
      <c r="I158">
        <v>38</v>
      </c>
      <c r="J158">
        <v>3</v>
      </c>
    </row>
    <row r="159" spans="1:10">
      <c r="A159" t="s">
        <v>30</v>
      </c>
      <c r="B159">
        <v>68</v>
      </c>
      <c r="C159" t="s">
        <v>501</v>
      </c>
      <c r="D159">
        <v>78</v>
      </c>
      <c r="E159">
        <v>468</v>
      </c>
      <c r="F159">
        <v>71255</v>
      </c>
      <c r="G159">
        <v>767</v>
      </c>
      <c r="H159">
        <v>68</v>
      </c>
      <c r="I159">
        <v>39</v>
      </c>
      <c r="J159">
        <v>3</v>
      </c>
    </row>
    <row r="160" spans="1:10">
      <c r="A160" t="s">
        <v>30</v>
      </c>
      <c r="B160">
        <v>69</v>
      </c>
      <c r="C160" t="s">
        <v>502</v>
      </c>
      <c r="D160">
        <v>78</v>
      </c>
      <c r="E160">
        <v>468</v>
      </c>
      <c r="F160">
        <v>71255</v>
      </c>
      <c r="G160">
        <v>767</v>
      </c>
      <c r="H160">
        <v>68</v>
      </c>
      <c r="I160">
        <v>39</v>
      </c>
      <c r="J160">
        <v>3</v>
      </c>
    </row>
    <row r="161" spans="1:10">
      <c r="A161" t="s">
        <v>30</v>
      </c>
      <c r="B161">
        <v>70</v>
      </c>
      <c r="C161" t="s">
        <v>503</v>
      </c>
      <c r="D161">
        <v>80</v>
      </c>
      <c r="E161">
        <v>480</v>
      </c>
      <c r="F161">
        <v>73278</v>
      </c>
      <c r="G161">
        <v>780</v>
      </c>
      <c r="H161">
        <v>72</v>
      </c>
      <c r="I161">
        <v>40</v>
      </c>
      <c r="J161">
        <v>3</v>
      </c>
    </row>
    <row r="162" spans="1:10">
      <c r="A162" t="s">
        <v>30</v>
      </c>
      <c r="B162">
        <v>71</v>
      </c>
      <c r="C162" t="s">
        <v>504</v>
      </c>
      <c r="D162">
        <v>82</v>
      </c>
      <c r="E162">
        <v>492</v>
      </c>
      <c r="F162">
        <v>74170</v>
      </c>
      <c r="G162">
        <v>780</v>
      </c>
      <c r="H162">
        <v>72</v>
      </c>
      <c r="I162">
        <v>41</v>
      </c>
      <c r="J162">
        <v>3</v>
      </c>
    </row>
    <row r="163" spans="1:10">
      <c r="A163" t="s">
        <v>30</v>
      </c>
      <c r="B163">
        <v>72</v>
      </c>
      <c r="C163" t="s">
        <v>505</v>
      </c>
      <c r="D163">
        <v>82</v>
      </c>
      <c r="E163">
        <v>492</v>
      </c>
      <c r="F163">
        <v>74170</v>
      </c>
      <c r="G163">
        <v>780</v>
      </c>
      <c r="H163">
        <v>72</v>
      </c>
      <c r="I163">
        <v>41</v>
      </c>
      <c r="J163">
        <v>3</v>
      </c>
    </row>
    <row r="164" spans="1:10">
      <c r="A164" t="s">
        <v>30</v>
      </c>
      <c r="B164">
        <v>73</v>
      </c>
      <c r="C164" t="s">
        <v>506</v>
      </c>
      <c r="D164">
        <v>84</v>
      </c>
      <c r="E164">
        <v>504</v>
      </c>
      <c r="F164">
        <v>75228</v>
      </c>
      <c r="G164">
        <v>802</v>
      </c>
      <c r="H164">
        <v>73</v>
      </c>
      <c r="I164">
        <v>42</v>
      </c>
      <c r="J164">
        <v>3</v>
      </c>
    </row>
    <row r="165" spans="1:10">
      <c r="A165" t="s">
        <v>30</v>
      </c>
      <c r="B165">
        <v>74</v>
      </c>
      <c r="C165" t="s">
        <v>507</v>
      </c>
      <c r="D165">
        <v>84</v>
      </c>
      <c r="E165">
        <v>504</v>
      </c>
      <c r="F165">
        <v>75228</v>
      </c>
      <c r="G165">
        <v>802</v>
      </c>
      <c r="H165">
        <v>73</v>
      </c>
      <c r="I165">
        <v>42</v>
      </c>
      <c r="J165">
        <v>3</v>
      </c>
    </row>
    <row r="166" spans="1:10">
      <c r="A166" t="s">
        <v>30</v>
      </c>
      <c r="B166">
        <v>75</v>
      </c>
      <c r="C166" t="s">
        <v>508</v>
      </c>
      <c r="D166">
        <v>86</v>
      </c>
      <c r="E166">
        <v>516</v>
      </c>
      <c r="F166">
        <v>76684</v>
      </c>
      <c r="G166">
        <v>805</v>
      </c>
      <c r="H166">
        <v>73</v>
      </c>
      <c r="I166">
        <v>43</v>
      </c>
      <c r="J166">
        <v>3</v>
      </c>
    </row>
    <row r="167" spans="1:10">
      <c r="A167" t="s">
        <v>30</v>
      </c>
      <c r="B167">
        <v>76</v>
      </c>
      <c r="C167" t="s">
        <v>509</v>
      </c>
      <c r="D167">
        <v>86</v>
      </c>
      <c r="E167">
        <v>516</v>
      </c>
      <c r="F167">
        <v>76684</v>
      </c>
      <c r="G167">
        <v>805</v>
      </c>
      <c r="H167">
        <v>73</v>
      </c>
      <c r="I167">
        <v>43</v>
      </c>
      <c r="J167">
        <v>3</v>
      </c>
    </row>
    <row r="168" spans="1:10">
      <c r="A168" t="s">
        <v>30</v>
      </c>
      <c r="B168">
        <v>77</v>
      </c>
      <c r="C168" t="s">
        <v>510</v>
      </c>
      <c r="D168">
        <v>88</v>
      </c>
      <c r="E168">
        <v>528</v>
      </c>
      <c r="F168">
        <v>77882</v>
      </c>
      <c r="G168">
        <v>815</v>
      </c>
      <c r="H168">
        <v>74</v>
      </c>
      <c r="I168">
        <v>44</v>
      </c>
      <c r="J168">
        <v>3</v>
      </c>
    </row>
    <row r="169" spans="1:10">
      <c r="A169" t="s">
        <v>30</v>
      </c>
      <c r="B169">
        <v>78</v>
      </c>
      <c r="C169" t="s">
        <v>511</v>
      </c>
      <c r="D169">
        <v>90</v>
      </c>
      <c r="E169">
        <v>540</v>
      </c>
      <c r="F169">
        <v>78755</v>
      </c>
      <c r="G169">
        <v>822</v>
      </c>
      <c r="H169">
        <v>74</v>
      </c>
      <c r="I169">
        <v>45</v>
      </c>
      <c r="J169">
        <v>3</v>
      </c>
    </row>
    <row r="170" spans="1:10">
      <c r="A170" t="s">
        <v>30</v>
      </c>
      <c r="B170">
        <v>79</v>
      </c>
      <c r="C170" t="s">
        <v>512</v>
      </c>
      <c r="D170">
        <v>90</v>
      </c>
      <c r="E170">
        <v>540</v>
      </c>
      <c r="F170">
        <v>78755</v>
      </c>
      <c r="G170">
        <v>822</v>
      </c>
      <c r="H170">
        <v>74</v>
      </c>
      <c r="I170">
        <v>45</v>
      </c>
      <c r="J170">
        <v>3</v>
      </c>
    </row>
    <row r="171" spans="1:10">
      <c r="A171" t="s">
        <v>30</v>
      </c>
      <c r="B171">
        <v>80</v>
      </c>
      <c r="C171" t="s">
        <v>513</v>
      </c>
      <c r="D171">
        <v>92</v>
      </c>
      <c r="E171">
        <v>552</v>
      </c>
      <c r="F171">
        <v>81013</v>
      </c>
      <c r="G171">
        <v>842</v>
      </c>
      <c r="H171">
        <v>75</v>
      </c>
      <c r="I171">
        <v>46</v>
      </c>
      <c r="J171">
        <v>4</v>
      </c>
    </row>
    <row r="172" spans="1:10">
      <c r="A172" t="s">
        <v>30</v>
      </c>
      <c r="B172">
        <v>81</v>
      </c>
      <c r="C172" t="s">
        <v>514</v>
      </c>
      <c r="D172">
        <v>92</v>
      </c>
      <c r="E172">
        <v>552</v>
      </c>
      <c r="F172">
        <v>81013</v>
      </c>
      <c r="G172">
        <v>842</v>
      </c>
      <c r="H172">
        <v>75</v>
      </c>
      <c r="I172">
        <v>46</v>
      </c>
      <c r="J172">
        <v>4</v>
      </c>
    </row>
    <row r="173" spans="1:10">
      <c r="A173" t="s">
        <v>30</v>
      </c>
      <c r="B173">
        <v>82</v>
      </c>
      <c r="C173" t="s">
        <v>515</v>
      </c>
      <c r="D173">
        <v>94</v>
      </c>
      <c r="E173">
        <v>564</v>
      </c>
      <c r="F173">
        <v>82572</v>
      </c>
      <c r="G173">
        <v>842</v>
      </c>
      <c r="H173">
        <v>78</v>
      </c>
      <c r="I173">
        <v>47</v>
      </c>
      <c r="J173">
        <v>4</v>
      </c>
    </row>
    <row r="174" spans="1:10">
      <c r="A174" t="s">
        <v>30</v>
      </c>
      <c r="B174">
        <v>83</v>
      </c>
      <c r="C174" t="s">
        <v>516</v>
      </c>
      <c r="D174">
        <v>94</v>
      </c>
      <c r="E174">
        <v>564</v>
      </c>
      <c r="F174">
        <v>82572</v>
      </c>
      <c r="G174">
        <v>842</v>
      </c>
      <c r="H174">
        <v>78</v>
      </c>
      <c r="I174">
        <v>47</v>
      </c>
      <c r="J174">
        <v>4</v>
      </c>
    </row>
    <row r="175" spans="1:10">
      <c r="A175" t="s">
        <v>30</v>
      </c>
      <c r="B175">
        <v>84</v>
      </c>
      <c r="C175" t="s">
        <v>517</v>
      </c>
      <c r="D175">
        <v>96</v>
      </c>
      <c r="E175">
        <v>576</v>
      </c>
      <c r="F175">
        <v>84347</v>
      </c>
      <c r="G175">
        <v>850</v>
      </c>
      <c r="H175">
        <v>79</v>
      </c>
      <c r="I175">
        <v>48</v>
      </c>
      <c r="J175">
        <v>4</v>
      </c>
    </row>
    <row r="176" spans="1:10">
      <c r="A176" t="s">
        <v>30</v>
      </c>
      <c r="B176">
        <v>85</v>
      </c>
      <c r="C176" t="s">
        <v>518</v>
      </c>
      <c r="D176">
        <v>98</v>
      </c>
      <c r="E176">
        <v>588</v>
      </c>
      <c r="F176">
        <v>85278</v>
      </c>
      <c r="G176">
        <v>870</v>
      </c>
      <c r="H176">
        <v>79</v>
      </c>
      <c r="I176">
        <v>49</v>
      </c>
      <c r="J176">
        <v>4</v>
      </c>
    </row>
    <row r="177" spans="1:10">
      <c r="A177" t="s">
        <v>30</v>
      </c>
      <c r="B177">
        <v>86</v>
      </c>
      <c r="C177" t="s">
        <v>519</v>
      </c>
      <c r="D177">
        <v>98</v>
      </c>
      <c r="E177">
        <v>588</v>
      </c>
      <c r="F177">
        <v>85278</v>
      </c>
      <c r="G177">
        <v>870</v>
      </c>
      <c r="H177">
        <v>79</v>
      </c>
      <c r="I177">
        <v>49</v>
      </c>
      <c r="J177">
        <v>4</v>
      </c>
    </row>
    <row r="178" spans="1:10">
      <c r="A178" t="s">
        <v>30</v>
      </c>
      <c r="B178">
        <v>87</v>
      </c>
      <c r="C178" t="s">
        <v>520</v>
      </c>
      <c r="D178">
        <v>100</v>
      </c>
      <c r="E178">
        <v>600</v>
      </c>
      <c r="F178">
        <v>86322</v>
      </c>
      <c r="G178">
        <v>875</v>
      </c>
      <c r="H178">
        <v>80</v>
      </c>
      <c r="I178">
        <v>50</v>
      </c>
      <c r="J178">
        <v>4</v>
      </c>
    </row>
    <row r="179" spans="1:10">
      <c r="A179" t="s">
        <v>30</v>
      </c>
      <c r="B179">
        <v>88</v>
      </c>
      <c r="C179" t="s">
        <v>521</v>
      </c>
      <c r="D179">
        <v>100</v>
      </c>
      <c r="E179">
        <v>600</v>
      </c>
      <c r="F179">
        <v>86322</v>
      </c>
      <c r="G179">
        <v>875</v>
      </c>
      <c r="H179">
        <v>80</v>
      </c>
      <c r="I179">
        <v>50</v>
      </c>
      <c r="J179">
        <v>4</v>
      </c>
    </row>
    <row r="180" spans="1:10">
      <c r="A180" t="s">
        <v>30</v>
      </c>
      <c r="B180">
        <v>89</v>
      </c>
      <c r="C180" t="s">
        <v>522</v>
      </c>
      <c r="D180">
        <v>102</v>
      </c>
      <c r="E180">
        <v>612</v>
      </c>
      <c r="F180">
        <v>89948</v>
      </c>
      <c r="G180">
        <v>888</v>
      </c>
      <c r="H180">
        <v>82</v>
      </c>
      <c r="I180">
        <v>51</v>
      </c>
      <c r="J180">
        <v>4</v>
      </c>
    </row>
    <row r="181" spans="1:10">
      <c r="A181" t="s">
        <v>30</v>
      </c>
      <c r="B181">
        <v>90</v>
      </c>
      <c r="C181" t="s">
        <v>523</v>
      </c>
      <c r="D181">
        <v>102</v>
      </c>
      <c r="E181">
        <v>612</v>
      </c>
      <c r="F181">
        <v>89948</v>
      </c>
      <c r="G181">
        <v>888</v>
      </c>
      <c r="H181">
        <v>82</v>
      </c>
      <c r="I181">
        <v>51</v>
      </c>
      <c r="J181">
        <v>4</v>
      </c>
    </row>
    <row r="182" spans="1:10">
      <c r="A182" t="s">
        <v>31</v>
      </c>
      <c r="B182">
        <v>1</v>
      </c>
      <c r="C182" t="s">
        <v>434</v>
      </c>
      <c r="D182">
        <v>3</v>
      </c>
      <c r="E182">
        <v>18</v>
      </c>
      <c r="F182">
        <v>1540</v>
      </c>
      <c r="G182">
        <v>82</v>
      </c>
      <c r="H182">
        <v>1</v>
      </c>
      <c r="I182">
        <v>1</v>
      </c>
      <c r="J182">
        <v>0</v>
      </c>
    </row>
    <row r="183" spans="1:10">
      <c r="A183" t="s">
        <v>31</v>
      </c>
      <c r="B183">
        <v>2</v>
      </c>
      <c r="C183" t="s">
        <v>435</v>
      </c>
      <c r="D183">
        <v>6</v>
      </c>
      <c r="E183">
        <v>36</v>
      </c>
      <c r="F183">
        <v>3617</v>
      </c>
      <c r="G183">
        <v>99</v>
      </c>
      <c r="H183">
        <v>4</v>
      </c>
      <c r="I183">
        <v>2</v>
      </c>
      <c r="J183">
        <v>0</v>
      </c>
    </row>
    <row r="184" spans="1:10">
      <c r="A184" t="s">
        <v>31</v>
      </c>
      <c r="B184">
        <v>3</v>
      </c>
      <c r="C184" t="s">
        <v>436</v>
      </c>
      <c r="D184">
        <v>9</v>
      </c>
      <c r="E184">
        <v>54</v>
      </c>
      <c r="F184">
        <v>5709</v>
      </c>
      <c r="G184">
        <v>139</v>
      </c>
      <c r="H184">
        <v>7</v>
      </c>
      <c r="I184">
        <v>3</v>
      </c>
      <c r="J184">
        <v>0</v>
      </c>
    </row>
    <row r="185" spans="1:10">
      <c r="A185" t="s">
        <v>31</v>
      </c>
      <c r="B185">
        <v>4</v>
      </c>
      <c r="C185" t="s">
        <v>437</v>
      </c>
      <c r="D185">
        <v>12</v>
      </c>
      <c r="E185">
        <v>72</v>
      </c>
      <c r="F185">
        <v>8960</v>
      </c>
      <c r="G185">
        <v>184</v>
      </c>
      <c r="H185">
        <v>11</v>
      </c>
      <c r="I185">
        <v>4</v>
      </c>
      <c r="J185">
        <v>0</v>
      </c>
    </row>
    <row r="186" spans="1:10">
      <c r="A186" t="s">
        <v>31</v>
      </c>
      <c r="B186">
        <v>5</v>
      </c>
      <c r="C186" t="s">
        <v>438</v>
      </c>
      <c r="D186">
        <v>15</v>
      </c>
      <c r="E186">
        <v>90</v>
      </c>
      <c r="F186">
        <v>11048</v>
      </c>
      <c r="G186">
        <v>212</v>
      </c>
      <c r="H186">
        <v>13</v>
      </c>
      <c r="I186">
        <v>5</v>
      </c>
      <c r="J186">
        <v>0</v>
      </c>
    </row>
    <row r="187" spans="1:10">
      <c r="A187" t="s">
        <v>31</v>
      </c>
      <c r="B187">
        <v>6</v>
      </c>
      <c r="C187" t="s">
        <v>439</v>
      </c>
      <c r="D187">
        <v>18</v>
      </c>
      <c r="E187">
        <v>108</v>
      </c>
      <c r="F187">
        <v>13623</v>
      </c>
      <c r="G187">
        <v>242</v>
      </c>
      <c r="H187">
        <v>14</v>
      </c>
      <c r="I187">
        <v>6</v>
      </c>
      <c r="J187">
        <v>0</v>
      </c>
    </row>
    <row r="188" spans="1:10">
      <c r="A188" t="s">
        <v>31</v>
      </c>
      <c r="B188">
        <v>7</v>
      </c>
      <c r="C188" t="s">
        <v>440</v>
      </c>
      <c r="D188">
        <v>21</v>
      </c>
      <c r="E188">
        <v>126</v>
      </c>
      <c r="F188">
        <v>16373</v>
      </c>
      <c r="G188">
        <v>270</v>
      </c>
      <c r="H188">
        <v>15</v>
      </c>
      <c r="I188">
        <v>7</v>
      </c>
      <c r="J188">
        <v>0</v>
      </c>
    </row>
    <row r="189" spans="1:10">
      <c r="A189" t="s">
        <v>31</v>
      </c>
      <c r="B189">
        <v>8</v>
      </c>
      <c r="C189" t="s">
        <v>441</v>
      </c>
      <c r="D189">
        <v>24</v>
      </c>
      <c r="E189">
        <v>144</v>
      </c>
      <c r="F189">
        <v>18782</v>
      </c>
      <c r="G189">
        <v>297</v>
      </c>
      <c r="H189">
        <v>17</v>
      </c>
      <c r="I189">
        <v>8</v>
      </c>
      <c r="J189">
        <v>1</v>
      </c>
    </row>
    <row r="190" spans="1:10">
      <c r="A190" t="s">
        <v>31</v>
      </c>
      <c r="B190">
        <v>9</v>
      </c>
      <c r="C190" t="s">
        <v>442</v>
      </c>
      <c r="D190">
        <v>27</v>
      </c>
      <c r="E190">
        <v>162</v>
      </c>
      <c r="F190">
        <v>20609</v>
      </c>
      <c r="G190">
        <v>312</v>
      </c>
      <c r="H190">
        <v>18</v>
      </c>
      <c r="I190">
        <v>9</v>
      </c>
      <c r="J190">
        <v>1</v>
      </c>
    </row>
    <row r="191" spans="1:10">
      <c r="A191" t="s">
        <v>31</v>
      </c>
      <c r="B191">
        <v>10</v>
      </c>
      <c r="C191" t="s">
        <v>443</v>
      </c>
      <c r="D191">
        <v>30</v>
      </c>
      <c r="E191">
        <v>180</v>
      </c>
      <c r="F191">
        <v>23022</v>
      </c>
      <c r="G191">
        <v>350</v>
      </c>
      <c r="H191">
        <v>20</v>
      </c>
      <c r="I191">
        <v>10</v>
      </c>
      <c r="J191">
        <v>1</v>
      </c>
    </row>
    <row r="192" spans="1:10">
      <c r="A192" t="s">
        <v>31</v>
      </c>
      <c r="B192">
        <v>11</v>
      </c>
      <c r="C192" t="s">
        <v>444</v>
      </c>
      <c r="D192">
        <v>33</v>
      </c>
      <c r="E192">
        <v>198</v>
      </c>
      <c r="F192">
        <v>25787</v>
      </c>
      <c r="G192">
        <v>385</v>
      </c>
      <c r="H192">
        <v>22</v>
      </c>
      <c r="I192">
        <v>11</v>
      </c>
      <c r="J192">
        <v>1</v>
      </c>
    </row>
    <row r="193" spans="1:10">
      <c r="A193" t="s">
        <v>31</v>
      </c>
      <c r="B193">
        <v>12</v>
      </c>
      <c r="C193" t="s">
        <v>445</v>
      </c>
      <c r="D193">
        <v>36</v>
      </c>
      <c r="E193">
        <v>216</v>
      </c>
      <c r="F193">
        <v>28759</v>
      </c>
      <c r="G193">
        <v>425</v>
      </c>
      <c r="H193">
        <v>24</v>
      </c>
      <c r="I193">
        <v>12</v>
      </c>
      <c r="J193">
        <v>1</v>
      </c>
    </row>
    <row r="194" spans="1:10">
      <c r="A194" t="s">
        <v>31</v>
      </c>
      <c r="B194">
        <v>13</v>
      </c>
      <c r="C194" t="s">
        <v>446</v>
      </c>
      <c r="D194">
        <v>39</v>
      </c>
      <c r="E194">
        <v>234</v>
      </c>
      <c r="F194">
        <v>31183</v>
      </c>
      <c r="G194">
        <v>430</v>
      </c>
      <c r="H194">
        <v>26</v>
      </c>
      <c r="I194">
        <v>13</v>
      </c>
      <c r="J194">
        <v>1</v>
      </c>
    </row>
    <row r="195" spans="1:10">
      <c r="A195" t="s">
        <v>31</v>
      </c>
      <c r="B195">
        <v>14</v>
      </c>
      <c r="C195" t="s">
        <v>447</v>
      </c>
      <c r="D195">
        <v>42</v>
      </c>
      <c r="E195">
        <v>252</v>
      </c>
      <c r="F195">
        <v>33096</v>
      </c>
      <c r="G195">
        <v>458</v>
      </c>
      <c r="H195">
        <v>28</v>
      </c>
      <c r="I195">
        <v>14</v>
      </c>
      <c r="J195">
        <v>1</v>
      </c>
    </row>
    <row r="196" spans="1:10">
      <c r="A196" t="s">
        <v>31</v>
      </c>
      <c r="B196">
        <v>15</v>
      </c>
      <c r="C196" t="s">
        <v>448</v>
      </c>
      <c r="D196">
        <v>45</v>
      </c>
      <c r="E196">
        <v>270</v>
      </c>
      <c r="F196">
        <v>35587</v>
      </c>
      <c r="G196">
        <v>476</v>
      </c>
      <c r="H196">
        <v>30</v>
      </c>
      <c r="I196">
        <v>15</v>
      </c>
      <c r="J196">
        <v>2</v>
      </c>
    </row>
    <row r="197" spans="1:10">
      <c r="A197" t="s">
        <v>31</v>
      </c>
      <c r="B197">
        <v>16</v>
      </c>
      <c r="C197" t="s">
        <v>449</v>
      </c>
      <c r="D197">
        <v>48</v>
      </c>
      <c r="E197">
        <v>288</v>
      </c>
      <c r="F197">
        <v>37439</v>
      </c>
      <c r="G197">
        <v>489</v>
      </c>
      <c r="H197">
        <v>32</v>
      </c>
      <c r="I197">
        <v>16</v>
      </c>
      <c r="J197">
        <v>2</v>
      </c>
    </row>
    <row r="198" spans="1:10">
      <c r="A198" t="s">
        <v>31</v>
      </c>
      <c r="B198">
        <v>17</v>
      </c>
      <c r="C198" t="s">
        <v>450</v>
      </c>
      <c r="D198">
        <v>51</v>
      </c>
      <c r="E198">
        <v>306</v>
      </c>
      <c r="F198">
        <v>39817</v>
      </c>
      <c r="G198">
        <v>514</v>
      </c>
      <c r="H198">
        <v>35</v>
      </c>
      <c r="I198">
        <v>17</v>
      </c>
      <c r="J198">
        <v>2</v>
      </c>
    </row>
    <row r="199" spans="1:10">
      <c r="A199" t="s">
        <v>31</v>
      </c>
      <c r="B199">
        <v>18</v>
      </c>
      <c r="C199" t="s">
        <v>451</v>
      </c>
      <c r="D199">
        <v>54</v>
      </c>
      <c r="E199">
        <v>324</v>
      </c>
      <c r="F199">
        <v>42287</v>
      </c>
      <c r="G199">
        <v>534</v>
      </c>
      <c r="H199">
        <v>36</v>
      </c>
      <c r="I199">
        <v>18</v>
      </c>
      <c r="J199">
        <v>2</v>
      </c>
    </row>
    <row r="200" spans="1:10">
      <c r="A200" t="s">
        <v>31</v>
      </c>
      <c r="B200">
        <v>19</v>
      </c>
      <c r="C200" t="s">
        <v>452</v>
      </c>
      <c r="D200">
        <v>57</v>
      </c>
      <c r="E200">
        <v>342</v>
      </c>
      <c r="F200">
        <v>45723</v>
      </c>
      <c r="G200">
        <v>557</v>
      </c>
      <c r="H200">
        <v>38</v>
      </c>
      <c r="I200">
        <v>19</v>
      </c>
      <c r="J200">
        <v>2</v>
      </c>
    </row>
    <row r="201" spans="1:10">
      <c r="A201" t="s">
        <v>31</v>
      </c>
      <c r="B201">
        <v>20</v>
      </c>
      <c r="C201" t="s">
        <v>453</v>
      </c>
      <c r="D201">
        <v>60</v>
      </c>
      <c r="E201">
        <v>360</v>
      </c>
      <c r="F201">
        <v>47907</v>
      </c>
      <c r="G201">
        <v>562</v>
      </c>
      <c r="H201">
        <v>40</v>
      </c>
      <c r="I201">
        <v>20</v>
      </c>
      <c r="J201">
        <v>2</v>
      </c>
    </row>
    <row r="202" spans="1:10">
      <c r="A202" t="s">
        <v>31</v>
      </c>
      <c r="B202">
        <v>21</v>
      </c>
      <c r="C202" t="s">
        <v>454</v>
      </c>
      <c r="D202">
        <v>63</v>
      </c>
      <c r="E202">
        <v>378</v>
      </c>
      <c r="F202">
        <v>49753</v>
      </c>
      <c r="G202">
        <v>590</v>
      </c>
      <c r="H202">
        <v>42</v>
      </c>
      <c r="I202">
        <v>21</v>
      </c>
      <c r="J202">
        <v>2</v>
      </c>
    </row>
    <row r="203" spans="1:10">
      <c r="A203" t="s">
        <v>31</v>
      </c>
      <c r="B203">
        <v>22</v>
      </c>
      <c r="C203" t="s">
        <v>455</v>
      </c>
      <c r="D203">
        <v>66</v>
      </c>
      <c r="E203">
        <v>396</v>
      </c>
      <c r="F203">
        <v>53922</v>
      </c>
      <c r="G203">
        <v>608</v>
      </c>
      <c r="H203">
        <v>43</v>
      </c>
      <c r="I203">
        <v>22</v>
      </c>
      <c r="J203">
        <v>3</v>
      </c>
    </row>
    <row r="204" spans="1:10">
      <c r="A204" t="s">
        <v>31</v>
      </c>
      <c r="B204">
        <v>23</v>
      </c>
      <c r="C204" t="s">
        <v>456</v>
      </c>
      <c r="D204">
        <v>69</v>
      </c>
      <c r="E204">
        <v>414</v>
      </c>
      <c r="F204">
        <v>55872</v>
      </c>
      <c r="G204">
        <v>608</v>
      </c>
      <c r="H204">
        <v>45</v>
      </c>
      <c r="I204">
        <v>23</v>
      </c>
      <c r="J204">
        <v>3</v>
      </c>
    </row>
    <row r="205" spans="1:10">
      <c r="A205" t="s">
        <v>31</v>
      </c>
      <c r="B205">
        <v>24</v>
      </c>
      <c r="C205" t="s">
        <v>457</v>
      </c>
      <c r="D205">
        <v>72</v>
      </c>
      <c r="E205">
        <v>432</v>
      </c>
      <c r="F205">
        <v>58319</v>
      </c>
      <c r="G205">
        <v>633</v>
      </c>
      <c r="H205">
        <v>48</v>
      </c>
      <c r="I205">
        <v>24</v>
      </c>
      <c r="J205">
        <v>3</v>
      </c>
    </row>
    <row r="206" spans="1:10">
      <c r="A206" t="s">
        <v>31</v>
      </c>
      <c r="B206">
        <v>25</v>
      </c>
      <c r="C206" t="s">
        <v>458</v>
      </c>
      <c r="D206">
        <v>75</v>
      </c>
      <c r="E206">
        <v>450</v>
      </c>
      <c r="F206">
        <v>60775</v>
      </c>
      <c r="G206">
        <v>656</v>
      </c>
      <c r="H206">
        <v>50</v>
      </c>
      <c r="I206">
        <v>25</v>
      </c>
      <c r="J206">
        <v>3</v>
      </c>
    </row>
    <row r="207" spans="1:10">
      <c r="A207" t="s">
        <v>31</v>
      </c>
      <c r="B207">
        <v>26</v>
      </c>
      <c r="C207" t="s">
        <v>459</v>
      </c>
      <c r="D207">
        <v>78</v>
      </c>
      <c r="E207">
        <v>468</v>
      </c>
      <c r="F207">
        <v>62187</v>
      </c>
      <c r="G207">
        <v>674</v>
      </c>
      <c r="H207">
        <v>52</v>
      </c>
      <c r="I207">
        <v>26</v>
      </c>
      <c r="J207">
        <v>3</v>
      </c>
    </row>
    <row r="208" spans="1:10">
      <c r="A208" t="s">
        <v>31</v>
      </c>
      <c r="B208">
        <v>27</v>
      </c>
      <c r="C208" t="s">
        <v>460</v>
      </c>
      <c r="D208">
        <v>81</v>
      </c>
      <c r="E208">
        <v>486</v>
      </c>
      <c r="F208">
        <v>64222</v>
      </c>
      <c r="G208">
        <v>687</v>
      </c>
      <c r="H208">
        <v>53</v>
      </c>
      <c r="I208">
        <v>27</v>
      </c>
      <c r="J208">
        <v>3</v>
      </c>
    </row>
    <row r="209" spans="1:10">
      <c r="A209" t="s">
        <v>31</v>
      </c>
      <c r="B209">
        <v>28</v>
      </c>
      <c r="C209" t="s">
        <v>461</v>
      </c>
      <c r="D209">
        <v>84</v>
      </c>
      <c r="E209">
        <v>504</v>
      </c>
      <c r="F209">
        <v>65352</v>
      </c>
      <c r="G209">
        <v>712</v>
      </c>
      <c r="H209">
        <v>53</v>
      </c>
      <c r="I209">
        <v>28</v>
      </c>
      <c r="J209">
        <v>3</v>
      </c>
    </row>
    <row r="210" spans="1:10">
      <c r="A210" t="s">
        <v>31</v>
      </c>
      <c r="B210">
        <v>29</v>
      </c>
      <c r="C210" t="s">
        <v>462</v>
      </c>
      <c r="D210">
        <v>87</v>
      </c>
      <c r="E210">
        <v>522</v>
      </c>
      <c r="F210">
        <v>66928</v>
      </c>
      <c r="G210">
        <v>715</v>
      </c>
      <c r="H210">
        <v>53</v>
      </c>
      <c r="I210">
        <v>29</v>
      </c>
      <c r="J210">
        <v>3</v>
      </c>
    </row>
    <row r="211" spans="1:10">
      <c r="A211" t="s">
        <v>31</v>
      </c>
      <c r="B211">
        <v>30</v>
      </c>
      <c r="C211" t="s">
        <v>463</v>
      </c>
      <c r="D211">
        <v>90</v>
      </c>
      <c r="E211">
        <v>540</v>
      </c>
      <c r="F211">
        <v>68181</v>
      </c>
      <c r="G211">
        <v>720</v>
      </c>
      <c r="H211">
        <v>53</v>
      </c>
      <c r="I211">
        <v>30</v>
      </c>
      <c r="J211">
        <v>3</v>
      </c>
    </row>
    <row r="212" spans="1:10">
      <c r="A212" t="s">
        <v>31</v>
      </c>
      <c r="B212">
        <v>31</v>
      </c>
      <c r="C212" t="s">
        <v>464</v>
      </c>
      <c r="D212">
        <v>93</v>
      </c>
      <c r="E212">
        <v>558</v>
      </c>
      <c r="F212">
        <v>71562</v>
      </c>
      <c r="G212">
        <v>766</v>
      </c>
      <c r="H212">
        <v>56</v>
      </c>
      <c r="I212">
        <v>31</v>
      </c>
      <c r="J212">
        <v>4</v>
      </c>
    </row>
    <row r="213" spans="1:10">
      <c r="A213" t="s">
        <v>31</v>
      </c>
      <c r="B213">
        <v>32</v>
      </c>
      <c r="C213" t="s">
        <v>465</v>
      </c>
      <c r="D213">
        <v>96</v>
      </c>
      <c r="E213">
        <v>576</v>
      </c>
      <c r="F213">
        <v>74103</v>
      </c>
      <c r="G213">
        <v>784</v>
      </c>
      <c r="H213">
        <v>57</v>
      </c>
      <c r="I213">
        <v>32</v>
      </c>
      <c r="J213">
        <v>4</v>
      </c>
    </row>
    <row r="214" spans="1:10">
      <c r="A214" t="s">
        <v>31</v>
      </c>
      <c r="B214">
        <v>33</v>
      </c>
      <c r="C214" t="s">
        <v>466</v>
      </c>
      <c r="D214">
        <v>99</v>
      </c>
      <c r="E214">
        <v>594</v>
      </c>
      <c r="F214">
        <v>75300</v>
      </c>
      <c r="G214">
        <v>787</v>
      </c>
      <c r="H214">
        <v>59</v>
      </c>
      <c r="I214">
        <v>33</v>
      </c>
      <c r="J214">
        <v>4</v>
      </c>
    </row>
    <row r="215" spans="1:10">
      <c r="A215" t="s">
        <v>31</v>
      </c>
      <c r="B215">
        <v>34</v>
      </c>
      <c r="C215" t="s">
        <v>467</v>
      </c>
      <c r="D215">
        <v>102</v>
      </c>
      <c r="E215">
        <v>612</v>
      </c>
      <c r="F215">
        <v>79014</v>
      </c>
      <c r="G215">
        <v>790</v>
      </c>
      <c r="H215">
        <v>61</v>
      </c>
      <c r="I215">
        <v>34</v>
      </c>
      <c r="J215">
        <v>4</v>
      </c>
    </row>
    <row r="216" spans="1:10">
      <c r="A216" t="s">
        <v>31</v>
      </c>
      <c r="B216">
        <v>35</v>
      </c>
      <c r="C216" t="s">
        <v>468</v>
      </c>
      <c r="D216">
        <v>105</v>
      </c>
      <c r="E216">
        <v>630</v>
      </c>
      <c r="F216">
        <v>81146</v>
      </c>
      <c r="G216">
        <v>830</v>
      </c>
      <c r="H216">
        <v>63</v>
      </c>
      <c r="I216">
        <v>35</v>
      </c>
      <c r="J216">
        <v>4</v>
      </c>
    </row>
    <row r="217" spans="1:10">
      <c r="A217" t="s">
        <v>31</v>
      </c>
      <c r="B217">
        <v>36</v>
      </c>
      <c r="C217" t="s">
        <v>469</v>
      </c>
      <c r="D217">
        <v>108</v>
      </c>
      <c r="E217">
        <v>648</v>
      </c>
      <c r="F217">
        <v>83261</v>
      </c>
      <c r="G217">
        <v>833</v>
      </c>
      <c r="H217">
        <v>64</v>
      </c>
      <c r="I217">
        <v>36</v>
      </c>
      <c r="J217">
        <v>4</v>
      </c>
    </row>
    <row r="218" spans="1:10">
      <c r="A218" t="s">
        <v>31</v>
      </c>
      <c r="B218">
        <v>37</v>
      </c>
      <c r="C218" t="s">
        <v>470</v>
      </c>
      <c r="D218">
        <v>111</v>
      </c>
      <c r="E218">
        <v>666</v>
      </c>
      <c r="F218">
        <v>85964</v>
      </c>
      <c r="G218">
        <v>836</v>
      </c>
      <c r="H218">
        <v>66</v>
      </c>
      <c r="I218">
        <v>37</v>
      </c>
      <c r="J218">
        <v>4</v>
      </c>
    </row>
    <row r="219" spans="1:10">
      <c r="A219" t="s">
        <v>31</v>
      </c>
      <c r="B219">
        <v>38</v>
      </c>
      <c r="C219" t="s">
        <v>471</v>
      </c>
      <c r="D219">
        <v>114</v>
      </c>
      <c r="E219">
        <v>684</v>
      </c>
      <c r="F219">
        <v>89195</v>
      </c>
      <c r="G219">
        <v>879</v>
      </c>
      <c r="H219">
        <v>68</v>
      </c>
      <c r="I219">
        <v>38</v>
      </c>
      <c r="J219">
        <v>5</v>
      </c>
    </row>
    <row r="220" spans="1:10">
      <c r="A220" t="s">
        <v>31</v>
      </c>
      <c r="B220">
        <v>39</v>
      </c>
      <c r="C220" t="s">
        <v>472</v>
      </c>
      <c r="D220">
        <v>117</v>
      </c>
      <c r="E220">
        <v>702</v>
      </c>
      <c r="F220">
        <v>91653</v>
      </c>
      <c r="G220">
        <v>912</v>
      </c>
      <c r="H220">
        <v>69</v>
      </c>
      <c r="I220">
        <v>39</v>
      </c>
      <c r="J220">
        <v>5</v>
      </c>
    </row>
    <row r="221" spans="1:10">
      <c r="A221" t="s">
        <v>31</v>
      </c>
      <c r="B221">
        <v>40</v>
      </c>
      <c r="C221" t="s">
        <v>473</v>
      </c>
      <c r="D221">
        <v>120</v>
      </c>
      <c r="E221">
        <v>720</v>
      </c>
      <c r="F221">
        <v>94679</v>
      </c>
      <c r="G221">
        <v>920</v>
      </c>
      <c r="H221">
        <v>71</v>
      </c>
      <c r="I221">
        <v>40</v>
      </c>
      <c r="J221">
        <v>5</v>
      </c>
    </row>
    <row r="222" spans="1:10">
      <c r="A222" t="s">
        <v>31</v>
      </c>
      <c r="B222">
        <v>41</v>
      </c>
      <c r="C222" t="s">
        <v>474</v>
      </c>
      <c r="D222">
        <v>123</v>
      </c>
      <c r="E222">
        <v>738</v>
      </c>
      <c r="F222">
        <v>96525</v>
      </c>
      <c r="G222">
        <v>926</v>
      </c>
      <c r="H222">
        <v>74</v>
      </c>
      <c r="I222">
        <v>41</v>
      </c>
      <c r="J222">
        <v>5</v>
      </c>
    </row>
    <row r="223" spans="1:10">
      <c r="A223" t="s">
        <v>31</v>
      </c>
      <c r="B223">
        <v>42</v>
      </c>
      <c r="C223" t="s">
        <v>475</v>
      </c>
      <c r="D223">
        <v>126</v>
      </c>
      <c r="E223">
        <v>756</v>
      </c>
      <c r="F223">
        <v>98325</v>
      </c>
      <c r="G223">
        <v>956</v>
      </c>
      <c r="H223">
        <v>75</v>
      </c>
      <c r="I223">
        <v>42</v>
      </c>
      <c r="J223">
        <v>5</v>
      </c>
    </row>
    <row r="224" spans="1:10">
      <c r="A224" t="s">
        <v>31</v>
      </c>
      <c r="B224">
        <v>43</v>
      </c>
      <c r="C224" t="s">
        <v>476</v>
      </c>
      <c r="D224">
        <v>129</v>
      </c>
      <c r="E224">
        <v>774</v>
      </c>
      <c r="F224">
        <v>100178</v>
      </c>
      <c r="G224">
        <v>969</v>
      </c>
      <c r="H224">
        <v>76</v>
      </c>
      <c r="I224">
        <v>43</v>
      </c>
      <c r="J224">
        <v>5</v>
      </c>
    </row>
    <row r="225" spans="1:10">
      <c r="A225" t="s">
        <v>31</v>
      </c>
      <c r="B225">
        <v>44</v>
      </c>
      <c r="C225" t="s">
        <v>477</v>
      </c>
      <c r="D225">
        <v>132</v>
      </c>
      <c r="E225">
        <v>792</v>
      </c>
      <c r="F225">
        <v>103530</v>
      </c>
      <c r="G225">
        <v>979</v>
      </c>
      <c r="H225">
        <v>78</v>
      </c>
      <c r="I225">
        <v>44</v>
      </c>
      <c r="J225">
        <v>5</v>
      </c>
    </row>
    <row r="226" spans="1:10">
      <c r="A226" t="s">
        <v>31</v>
      </c>
      <c r="B226">
        <v>45</v>
      </c>
      <c r="C226" t="s">
        <v>478</v>
      </c>
      <c r="D226">
        <v>135</v>
      </c>
      <c r="E226">
        <v>810</v>
      </c>
      <c r="F226">
        <v>106600</v>
      </c>
      <c r="G226">
        <v>1007</v>
      </c>
      <c r="H226">
        <v>80</v>
      </c>
      <c r="I226">
        <v>45</v>
      </c>
      <c r="J226">
        <v>5</v>
      </c>
    </row>
    <row r="227" spans="1:10">
      <c r="A227" t="s">
        <v>31</v>
      </c>
      <c r="B227">
        <v>46</v>
      </c>
      <c r="C227" t="s">
        <v>479</v>
      </c>
      <c r="D227">
        <v>138</v>
      </c>
      <c r="E227">
        <v>828</v>
      </c>
      <c r="F227">
        <v>108893</v>
      </c>
      <c r="G227">
        <v>1025</v>
      </c>
      <c r="H227">
        <v>80</v>
      </c>
      <c r="I227">
        <v>46</v>
      </c>
      <c r="J227">
        <v>6</v>
      </c>
    </row>
    <row r="228" spans="1:10">
      <c r="A228" t="s">
        <v>31</v>
      </c>
      <c r="B228">
        <v>47</v>
      </c>
      <c r="C228" t="s">
        <v>480</v>
      </c>
      <c r="D228">
        <v>141</v>
      </c>
      <c r="E228">
        <v>846</v>
      </c>
      <c r="F228">
        <v>110800</v>
      </c>
      <c r="G228">
        <v>1025</v>
      </c>
      <c r="H228">
        <v>83</v>
      </c>
      <c r="I228">
        <v>47</v>
      </c>
      <c r="J228">
        <v>6</v>
      </c>
    </row>
    <row r="229" spans="1:10">
      <c r="A229" t="s">
        <v>31</v>
      </c>
      <c r="B229">
        <v>48</v>
      </c>
      <c r="C229" t="s">
        <v>481</v>
      </c>
      <c r="D229">
        <v>144</v>
      </c>
      <c r="E229">
        <v>864</v>
      </c>
      <c r="F229">
        <v>112365</v>
      </c>
      <c r="G229">
        <v>1033</v>
      </c>
      <c r="H229">
        <v>84</v>
      </c>
      <c r="I229">
        <v>48</v>
      </c>
      <c r="J229">
        <v>6</v>
      </c>
    </row>
    <row r="230" spans="1:10">
      <c r="A230" t="s">
        <v>31</v>
      </c>
      <c r="B230">
        <v>49</v>
      </c>
      <c r="C230" t="s">
        <v>482</v>
      </c>
      <c r="D230">
        <v>147</v>
      </c>
      <c r="E230">
        <v>882</v>
      </c>
      <c r="F230">
        <v>114201</v>
      </c>
      <c r="G230">
        <v>1063</v>
      </c>
      <c r="H230">
        <v>84</v>
      </c>
      <c r="I230">
        <v>49</v>
      </c>
      <c r="J230">
        <v>6</v>
      </c>
    </row>
    <row r="231" spans="1:10">
      <c r="A231" t="s">
        <v>31</v>
      </c>
      <c r="B231">
        <v>50</v>
      </c>
      <c r="C231" t="s">
        <v>483</v>
      </c>
      <c r="D231">
        <v>150</v>
      </c>
      <c r="E231">
        <v>900</v>
      </c>
      <c r="F231">
        <v>116263</v>
      </c>
      <c r="G231">
        <v>1076</v>
      </c>
      <c r="H231">
        <v>85</v>
      </c>
      <c r="I231">
        <v>50</v>
      </c>
      <c r="J231">
        <v>6</v>
      </c>
    </row>
    <row r="232" spans="1:10">
      <c r="A232" t="s">
        <v>31</v>
      </c>
      <c r="B232">
        <v>51</v>
      </c>
      <c r="C232" t="s">
        <v>484</v>
      </c>
      <c r="D232">
        <v>153</v>
      </c>
      <c r="E232">
        <v>918</v>
      </c>
      <c r="F232">
        <v>117927</v>
      </c>
      <c r="G232">
        <v>1089</v>
      </c>
      <c r="H232">
        <v>86</v>
      </c>
      <c r="I232">
        <v>51</v>
      </c>
      <c r="J232">
        <v>6</v>
      </c>
    </row>
    <row r="233" spans="1:10">
      <c r="A233" t="s">
        <v>31</v>
      </c>
      <c r="B233">
        <v>52</v>
      </c>
      <c r="C233" t="s">
        <v>485</v>
      </c>
      <c r="D233">
        <v>156</v>
      </c>
      <c r="E233">
        <v>936</v>
      </c>
      <c r="F233">
        <v>120450</v>
      </c>
      <c r="G233">
        <v>1107</v>
      </c>
      <c r="H233">
        <v>88</v>
      </c>
      <c r="I233">
        <v>52</v>
      </c>
      <c r="J233">
        <v>6</v>
      </c>
    </row>
    <row r="234" spans="1:10">
      <c r="A234" t="s">
        <v>31</v>
      </c>
      <c r="B234">
        <v>53</v>
      </c>
      <c r="C234" t="s">
        <v>486</v>
      </c>
      <c r="D234">
        <v>159</v>
      </c>
      <c r="E234">
        <v>954</v>
      </c>
      <c r="F234">
        <v>122572</v>
      </c>
      <c r="G234">
        <v>1120</v>
      </c>
      <c r="H234">
        <v>90</v>
      </c>
      <c r="I234">
        <v>53</v>
      </c>
      <c r="J234">
        <v>6</v>
      </c>
    </row>
    <row r="235" spans="1:10">
      <c r="A235" t="s">
        <v>31</v>
      </c>
      <c r="B235">
        <v>54</v>
      </c>
      <c r="C235" t="s">
        <v>487</v>
      </c>
      <c r="D235">
        <v>162</v>
      </c>
      <c r="E235">
        <v>972</v>
      </c>
      <c r="F235">
        <v>125019</v>
      </c>
      <c r="G235">
        <v>1138</v>
      </c>
      <c r="H235">
        <v>92</v>
      </c>
      <c r="I235">
        <v>54</v>
      </c>
      <c r="J235">
        <v>7</v>
      </c>
    </row>
    <row r="236" spans="1:10">
      <c r="A236" t="s">
        <v>31</v>
      </c>
      <c r="B236">
        <v>55</v>
      </c>
      <c r="C236" t="s">
        <v>488</v>
      </c>
      <c r="D236">
        <v>165</v>
      </c>
      <c r="E236">
        <v>990</v>
      </c>
      <c r="F236">
        <v>126803</v>
      </c>
      <c r="G236">
        <v>1141</v>
      </c>
      <c r="H236">
        <v>94</v>
      </c>
      <c r="I236">
        <v>55</v>
      </c>
      <c r="J236">
        <v>7</v>
      </c>
    </row>
    <row r="237" spans="1:10">
      <c r="A237" t="s">
        <v>31</v>
      </c>
      <c r="B237">
        <v>56</v>
      </c>
      <c r="C237" t="s">
        <v>489</v>
      </c>
      <c r="D237">
        <v>168</v>
      </c>
      <c r="E237">
        <v>1008</v>
      </c>
      <c r="F237">
        <v>128758</v>
      </c>
      <c r="G237">
        <v>1173</v>
      </c>
      <c r="H237">
        <v>95</v>
      </c>
      <c r="I237">
        <v>56</v>
      </c>
      <c r="J237">
        <v>7</v>
      </c>
    </row>
    <row r="238" spans="1:10">
      <c r="A238" t="s">
        <v>31</v>
      </c>
      <c r="B238">
        <v>57</v>
      </c>
      <c r="C238" t="s">
        <v>490</v>
      </c>
      <c r="D238">
        <v>171</v>
      </c>
      <c r="E238">
        <v>1026</v>
      </c>
      <c r="F238">
        <v>130705</v>
      </c>
      <c r="G238">
        <v>1176</v>
      </c>
      <c r="H238">
        <v>97</v>
      </c>
      <c r="I238">
        <v>57</v>
      </c>
      <c r="J238">
        <v>7</v>
      </c>
    </row>
    <row r="239" spans="1:10">
      <c r="A239" t="s">
        <v>31</v>
      </c>
      <c r="B239">
        <v>58</v>
      </c>
      <c r="C239" t="s">
        <v>491</v>
      </c>
      <c r="D239">
        <v>174</v>
      </c>
      <c r="E239">
        <v>1044</v>
      </c>
      <c r="F239">
        <v>134867</v>
      </c>
      <c r="G239">
        <v>1189</v>
      </c>
      <c r="H239">
        <v>100</v>
      </c>
      <c r="I239">
        <v>58</v>
      </c>
      <c r="J239">
        <v>7</v>
      </c>
    </row>
    <row r="240" spans="1:10">
      <c r="A240" t="s">
        <v>31</v>
      </c>
      <c r="B240">
        <v>59</v>
      </c>
      <c r="C240" t="s">
        <v>492</v>
      </c>
      <c r="D240">
        <v>177</v>
      </c>
      <c r="E240">
        <v>1062</v>
      </c>
      <c r="F240">
        <v>137069</v>
      </c>
      <c r="G240">
        <v>1207</v>
      </c>
      <c r="H240">
        <v>102</v>
      </c>
      <c r="I240">
        <v>59</v>
      </c>
      <c r="J240">
        <v>7</v>
      </c>
    </row>
    <row r="241" spans="1:10">
      <c r="A241" t="s">
        <v>31</v>
      </c>
      <c r="B241">
        <v>60</v>
      </c>
      <c r="C241" t="s">
        <v>493</v>
      </c>
      <c r="D241">
        <v>180</v>
      </c>
      <c r="E241">
        <v>1080</v>
      </c>
      <c r="F241">
        <v>139829</v>
      </c>
      <c r="G241">
        <v>1230</v>
      </c>
      <c r="H241">
        <v>103</v>
      </c>
      <c r="I241">
        <v>60</v>
      </c>
      <c r="J241">
        <v>7</v>
      </c>
    </row>
    <row r="242" spans="1:10">
      <c r="A242" t="s">
        <v>31</v>
      </c>
      <c r="B242">
        <v>61</v>
      </c>
      <c r="C242" t="s">
        <v>494</v>
      </c>
      <c r="D242">
        <v>183</v>
      </c>
      <c r="E242">
        <v>1098</v>
      </c>
      <c r="F242">
        <v>142613</v>
      </c>
      <c r="G242">
        <v>1251</v>
      </c>
      <c r="H242">
        <v>107</v>
      </c>
      <c r="I242">
        <v>61</v>
      </c>
      <c r="J242">
        <v>8</v>
      </c>
    </row>
    <row r="243" spans="1:10">
      <c r="A243" t="s">
        <v>31</v>
      </c>
      <c r="B243">
        <v>62</v>
      </c>
      <c r="C243" t="s">
        <v>495</v>
      </c>
      <c r="D243">
        <v>186</v>
      </c>
      <c r="E243">
        <v>1116</v>
      </c>
      <c r="F243">
        <v>144171</v>
      </c>
      <c r="G243">
        <v>1254</v>
      </c>
      <c r="H243">
        <v>109</v>
      </c>
      <c r="I243">
        <v>62</v>
      </c>
      <c r="J243">
        <v>8</v>
      </c>
    </row>
    <row r="244" spans="1:10">
      <c r="A244" t="s">
        <v>31</v>
      </c>
      <c r="B244">
        <v>63</v>
      </c>
      <c r="C244" t="s">
        <v>496</v>
      </c>
      <c r="D244">
        <v>189</v>
      </c>
      <c r="E244">
        <v>1134</v>
      </c>
      <c r="F244">
        <v>145805</v>
      </c>
      <c r="G244">
        <v>1282</v>
      </c>
      <c r="H244">
        <v>110</v>
      </c>
      <c r="I244">
        <v>63</v>
      </c>
      <c r="J244">
        <v>8</v>
      </c>
    </row>
    <row r="245" spans="1:10">
      <c r="A245" t="s">
        <v>31</v>
      </c>
      <c r="B245">
        <v>64</v>
      </c>
      <c r="C245" t="s">
        <v>497</v>
      </c>
      <c r="D245">
        <v>192</v>
      </c>
      <c r="E245">
        <v>1152</v>
      </c>
      <c r="F245">
        <v>147497</v>
      </c>
      <c r="G245">
        <v>1290</v>
      </c>
      <c r="H245">
        <v>112</v>
      </c>
      <c r="I245">
        <v>64</v>
      </c>
      <c r="J245">
        <v>8</v>
      </c>
    </row>
    <row r="246" spans="1:10">
      <c r="A246" t="s">
        <v>31</v>
      </c>
      <c r="B246">
        <v>65</v>
      </c>
      <c r="C246" t="s">
        <v>498</v>
      </c>
      <c r="D246">
        <v>195</v>
      </c>
      <c r="E246">
        <v>1170</v>
      </c>
      <c r="F246">
        <v>149453</v>
      </c>
      <c r="G246">
        <v>1295</v>
      </c>
      <c r="H246">
        <v>114</v>
      </c>
      <c r="I246">
        <v>65</v>
      </c>
      <c r="J246">
        <v>8</v>
      </c>
    </row>
    <row r="247" spans="1:10">
      <c r="A247" t="s">
        <v>31</v>
      </c>
      <c r="B247">
        <v>66</v>
      </c>
      <c r="C247" t="s">
        <v>499</v>
      </c>
      <c r="D247">
        <v>198</v>
      </c>
      <c r="E247">
        <v>1188</v>
      </c>
      <c r="F247">
        <v>152588</v>
      </c>
      <c r="G247">
        <v>1333</v>
      </c>
      <c r="H247">
        <v>117</v>
      </c>
      <c r="I247">
        <v>66</v>
      </c>
      <c r="J247">
        <v>8</v>
      </c>
    </row>
    <row r="248" spans="1:10">
      <c r="A248" t="s">
        <v>31</v>
      </c>
      <c r="B248">
        <v>67</v>
      </c>
      <c r="C248" t="s">
        <v>500</v>
      </c>
      <c r="D248">
        <v>201</v>
      </c>
      <c r="E248">
        <v>1206</v>
      </c>
      <c r="F248">
        <v>157317</v>
      </c>
      <c r="G248">
        <v>1336</v>
      </c>
      <c r="H248">
        <v>118</v>
      </c>
      <c r="I248">
        <v>67</v>
      </c>
      <c r="J248">
        <v>8</v>
      </c>
    </row>
    <row r="249" spans="1:10">
      <c r="A249" t="s">
        <v>31</v>
      </c>
      <c r="B249">
        <v>68</v>
      </c>
      <c r="C249" t="s">
        <v>501</v>
      </c>
      <c r="D249">
        <v>204</v>
      </c>
      <c r="E249">
        <v>1224</v>
      </c>
      <c r="F249">
        <v>160364</v>
      </c>
      <c r="G249">
        <v>1349</v>
      </c>
      <c r="H249">
        <v>119</v>
      </c>
      <c r="I249">
        <v>68</v>
      </c>
      <c r="J249">
        <v>8</v>
      </c>
    </row>
    <row r="250" spans="1:10">
      <c r="A250" t="s">
        <v>31</v>
      </c>
      <c r="B250">
        <v>69</v>
      </c>
      <c r="C250" t="s">
        <v>502</v>
      </c>
      <c r="D250">
        <v>207</v>
      </c>
      <c r="E250">
        <v>1242</v>
      </c>
      <c r="F250">
        <v>163182</v>
      </c>
      <c r="G250">
        <v>1367</v>
      </c>
      <c r="H250">
        <v>122</v>
      </c>
      <c r="I250">
        <v>69</v>
      </c>
      <c r="J250">
        <v>9</v>
      </c>
    </row>
    <row r="251" spans="1:10">
      <c r="A251" t="s">
        <v>31</v>
      </c>
      <c r="B251">
        <v>70</v>
      </c>
      <c r="C251" t="s">
        <v>503</v>
      </c>
      <c r="D251">
        <v>210</v>
      </c>
      <c r="E251">
        <v>1260</v>
      </c>
      <c r="F251">
        <v>165212</v>
      </c>
      <c r="G251">
        <v>1398</v>
      </c>
      <c r="H251">
        <v>125</v>
      </c>
      <c r="I251">
        <v>70</v>
      </c>
      <c r="J251">
        <v>9</v>
      </c>
    </row>
    <row r="252" spans="1:10">
      <c r="A252" t="s">
        <v>31</v>
      </c>
      <c r="B252">
        <v>71</v>
      </c>
      <c r="C252" t="s">
        <v>504</v>
      </c>
      <c r="D252">
        <v>213</v>
      </c>
      <c r="E252">
        <v>1278</v>
      </c>
      <c r="F252">
        <v>166778</v>
      </c>
      <c r="G252">
        <v>1403</v>
      </c>
      <c r="H252">
        <v>126</v>
      </c>
      <c r="I252">
        <v>71</v>
      </c>
      <c r="J252">
        <v>9</v>
      </c>
    </row>
    <row r="253" spans="1:10">
      <c r="A253" t="s">
        <v>31</v>
      </c>
      <c r="B253">
        <v>72</v>
      </c>
      <c r="C253" t="s">
        <v>505</v>
      </c>
      <c r="D253">
        <v>216</v>
      </c>
      <c r="E253">
        <v>1296</v>
      </c>
      <c r="F253">
        <v>168862</v>
      </c>
      <c r="G253">
        <v>1413</v>
      </c>
      <c r="H253">
        <v>127</v>
      </c>
      <c r="I253">
        <v>72</v>
      </c>
      <c r="J253">
        <v>9</v>
      </c>
    </row>
    <row r="254" spans="1:10">
      <c r="A254" t="s">
        <v>31</v>
      </c>
      <c r="B254">
        <v>73</v>
      </c>
      <c r="C254" t="s">
        <v>506</v>
      </c>
      <c r="D254">
        <v>219</v>
      </c>
      <c r="E254">
        <v>1314</v>
      </c>
      <c r="F254">
        <v>171695</v>
      </c>
      <c r="G254">
        <v>1451</v>
      </c>
      <c r="H254">
        <v>128</v>
      </c>
      <c r="I254">
        <v>73</v>
      </c>
      <c r="J254">
        <v>9</v>
      </c>
    </row>
    <row r="255" spans="1:10">
      <c r="A255" t="s">
        <v>31</v>
      </c>
      <c r="B255">
        <v>74</v>
      </c>
      <c r="C255" t="s">
        <v>507</v>
      </c>
      <c r="D255">
        <v>222</v>
      </c>
      <c r="E255">
        <v>1332</v>
      </c>
      <c r="F255">
        <v>173646</v>
      </c>
      <c r="G255">
        <v>1459</v>
      </c>
      <c r="H255">
        <v>131</v>
      </c>
      <c r="I255">
        <v>74</v>
      </c>
      <c r="J255">
        <v>9</v>
      </c>
    </row>
    <row r="256" spans="1:10">
      <c r="A256" t="s">
        <v>31</v>
      </c>
      <c r="B256">
        <v>75</v>
      </c>
      <c r="C256" t="s">
        <v>508</v>
      </c>
      <c r="D256">
        <v>225</v>
      </c>
      <c r="E256">
        <v>1350</v>
      </c>
      <c r="F256">
        <v>176180</v>
      </c>
      <c r="G256">
        <v>1462</v>
      </c>
      <c r="H256">
        <v>133</v>
      </c>
      <c r="I256">
        <v>75</v>
      </c>
      <c r="J256">
        <v>9</v>
      </c>
    </row>
    <row r="257" spans="1:10">
      <c r="A257" t="s">
        <v>31</v>
      </c>
      <c r="B257">
        <v>76</v>
      </c>
      <c r="C257" t="s">
        <v>509</v>
      </c>
      <c r="D257">
        <v>228</v>
      </c>
      <c r="E257">
        <v>1368</v>
      </c>
      <c r="F257">
        <v>180330</v>
      </c>
      <c r="G257">
        <v>1480</v>
      </c>
      <c r="H257">
        <v>135</v>
      </c>
      <c r="I257">
        <v>76</v>
      </c>
      <c r="J257">
        <v>10</v>
      </c>
    </row>
    <row r="258" spans="1:10">
      <c r="A258" t="s">
        <v>31</v>
      </c>
      <c r="B258">
        <v>77</v>
      </c>
      <c r="C258" t="s">
        <v>510</v>
      </c>
      <c r="D258">
        <v>231</v>
      </c>
      <c r="E258">
        <v>1386</v>
      </c>
      <c r="F258">
        <v>184498</v>
      </c>
      <c r="G258">
        <v>1511</v>
      </c>
      <c r="H258">
        <v>138</v>
      </c>
      <c r="I258">
        <v>77</v>
      </c>
      <c r="J258">
        <v>10</v>
      </c>
    </row>
    <row r="259" spans="1:10">
      <c r="A259" t="s">
        <v>31</v>
      </c>
      <c r="B259">
        <v>78</v>
      </c>
      <c r="C259" t="s">
        <v>511</v>
      </c>
      <c r="D259">
        <v>234</v>
      </c>
      <c r="E259">
        <v>1404</v>
      </c>
      <c r="F259">
        <v>185884</v>
      </c>
      <c r="G259">
        <v>1516</v>
      </c>
      <c r="H259">
        <v>139</v>
      </c>
      <c r="I259">
        <v>78</v>
      </c>
      <c r="J259">
        <v>10</v>
      </c>
    </row>
    <row r="260" spans="1:10">
      <c r="A260" t="s">
        <v>31</v>
      </c>
      <c r="B260">
        <v>79</v>
      </c>
      <c r="C260" t="s">
        <v>512</v>
      </c>
      <c r="D260">
        <v>237</v>
      </c>
      <c r="E260">
        <v>1422</v>
      </c>
      <c r="F260">
        <v>187327</v>
      </c>
      <c r="G260">
        <v>1519</v>
      </c>
      <c r="H260">
        <v>140</v>
      </c>
      <c r="I260">
        <v>79</v>
      </c>
      <c r="J260">
        <v>10</v>
      </c>
    </row>
    <row r="261" spans="1:10">
      <c r="A261" t="s">
        <v>31</v>
      </c>
      <c r="B261">
        <v>80</v>
      </c>
      <c r="C261" t="s">
        <v>513</v>
      </c>
      <c r="D261">
        <v>240</v>
      </c>
      <c r="E261">
        <v>1440</v>
      </c>
      <c r="F261">
        <v>189158</v>
      </c>
      <c r="G261">
        <v>1524</v>
      </c>
      <c r="H261">
        <v>141</v>
      </c>
      <c r="I261">
        <v>80</v>
      </c>
      <c r="J261">
        <v>10</v>
      </c>
    </row>
    <row r="262" spans="1:10">
      <c r="A262" t="s">
        <v>31</v>
      </c>
      <c r="B262">
        <v>81</v>
      </c>
      <c r="C262" t="s">
        <v>514</v>
      </c>
      <c r="D262">
        <v>243</v>
      </c>
      <c r="E262">
        <v>1458</v>
      </c>
      <c r="F262">
        <v>191609</v>
      </c>
      <c r="G262">
        <v>1544</v>
      </c>
      <c r="H262">
        <v>143</v>
      </c>
      <c r="I262">
        <v>81</v>
      </c>
      <c r="J262">
        <v>10</v>
      </c>
    </row>
    <row r="263" spans="1:10">
      <c r="A263" t="s">
        <v>31</v>
      </c>
      <c r="B263">
        <v>82</v>
      </c>
      <c r="C263" t="s">
        <v>515</v>
      </c>
      <c r="D263">
        <v>246</v>
      </c>
      <c r="E263">
        <v>1476</v>
      </c>
      <c r="F263">
        <v>193706</v>
      </c>
      <c r="G263">
        <v>1567</v>
      </c>
      <c r="H263">
        <v>145</v>
      </c>
      <c r="I263">
        <v>82</v>
      </c>
      <c r="J263">
        <v>10</v>
      </c>
    </row>
    <row r="264" spans="1:10">
      <c r="A264" t="s">
        <v>31</v>
      </c>
      <c r="B264">
        <v>83</v>
      </c>
      <c r="C264" t="s">
        <v>516</v>
      </c>
      <c r="D264">
        <v>249</v>
      </c>
      <c r="E264">
        <v>1494</v>
      </c>
      <c r="F264">
        <v>196451</v>
      </c>
      <c r="G264">
        <v>1575</v>
      </c>
      <c r="H264">
        <v>148</v>
      </c>
      <c r="I264">
        <v>83</v>
      </c>
      <c r="J264">
        <v>10</v>
      </c>
    </row>
    <row r="265" spans="1:10">
      <c r="A265" t="s">
        <v>31</v>
      </c>
      <c r="B265">
        <v>84</v>
      </c>
      <c r="C265" t="s">
        <v>517</v>
      </c>
      <c r="D265">
        <v>252</v>
      </c>
      <c r="E265">
        <v>1512</v>
      </c>
      <c r="F265">
        <v>198989</v>
      </c>
      <c r="G265">
        <v>1618</v>
      </c>
      <c r="H265">
        <v>149</v>
      </c>
      <c r="I265">
        <v>84</v>
      </c>
      <c r="J265">
        <v>11</v>
      </c>
    </row>
    <row r="266" spans="1:10">
      <c r="A266" t="s">
        <v>31</v>
      </c>
      <c r="B266">
        <v>85</v>
      </c>
      <c r="C266" t="s">
        <v>518</v>
      </c>
      <c r="D266">
        <v>255</v>
      </c>
      <c r="E266">
        <v>1530</v>
      </c>
      <c r="F266">
        <v>200685</v>
      </c>
      <c r="G266">
        <v>1621</v>
      </c>
      <c r="H266">
        <v>151</v>
      </c>
      <c r="I266">
        <v>85</v>
      </c>
      <c r="J266">
        <v>11</v>
      </c>
    </row>
    <row r="267" spans="1:10">
      <c r="A267" t="s">
        <v>31</v>
      </c>
      <c r="B267">
        <v>86</v>
      </c>
      <c r="C267" t="s">
        <v>519</v>
      </c>
      <c r="D267">
        <v>258</v>
      </c>
      <c r="E267">
        <v>1548</v>
      </c>
      <c r="F267">
        <v>202418</v>
      </c>
      <c r="G267">
        <v>1626</v>
      </c>
      <c r="H267">
        <v>153</v>
      </c>
      <c r="I267">
        <v>86</v>
      </c>
      <c r="J267">
        <v>11</v>
      </c>
    </row>
    <row r="268" spans="1:10">
      <c r="A268" t="s">
        <v>31</v>
      </c>
      <c r="B268">
        <v>87</v>
      </c>
      <c r="C268" t="s">
        <v>520</v>
      </c>
      <c r="D268">
        <v>261</v>
      </c>
      <c r="E268">
        <v>1566</v>
      </c>
      <c r="F268">
        <v>204892</v>
      </c>
      <c r="G268">
        <v>1651</v>
      </c>
      <c r="H268">
        <v>155</v>
      </c>
      <c r="I268">
        <v>87</v>
      </c>
      <c r="J268">
        <v>11</v>
      </c>
    </row>
    <row r="269" spans="1:10">
      <c r="A269" t="s">
        <v>31</v>
      </c>
      <c r="B269">
        <v>88</v>
      </c>
      <c r="C269" t="s">
        <v>521</v>
      </c>
      <c r="D269">
        <v>264</v>
      </c>
      <c r="E269">
        <v>1584</v>
      </c>
      <c r="F269">
        <v>207394</v>
      </c>
      <c r="G269">
        <v>1671</v>
      </c>
      <c r="H269">
        <v>156</v>
      </c>
      <c r="I269">
        <v>88</v>
      </c>
      <c r="J269">
        <v>11</v>
      </c>
    </row>
    <row r="270" spans="1:10">
      <c r="A270" t="s">
        <v>31</v>
      </c>
      <c r="B270">
        <v>89</v>
      </c>
      <c r="C270" t="s">
        <v>522</v>
      </c>
      <c r="D270">
        <v>267</v>
      </c>
      <c r="E270">
        <v>1602</v>
      </c>
      <c r="F270">
        <v>208916</v>
      </c>
      <c r="G270">
        <v>1674</v>
      </c>
      <c r="H270">
        <v>159</v>
      </c>
      <c r="I270">
        <v>89</v>
      </c>
      <c r="J270">
        <v>11</v>
      </c>
    </row>
    <row r="271" spans="1:10">
      <c r="A271" t="s">
        <v>31</v>
      </c>
      <c r="B271">
        <v>90</v>
      </c>
      <c r="C271" t="s">
        <v>523</v>
      </c>
      <c r="D271">
        <v>270</v>
      </c>
      <c r="E271">
        <v>1620</v>
      </c>
      <c r="F271">
        <v>211382</v>
      </c>
      <c r="G271">
        <v>1677</v>
      </c>
      <c r="H271">
        <v>161</v>
      </c>
      <c r="I271">
        <v>90</v>
      </c>
      <c r="J271">
        <v>11</v>
      </c>
    </row>
    <row r="272" spans="1:10">
      <c r="A272" t="s">
        <v>32</v>
      </c>
      <c r="B272">
        <v>1</v>
      </c>
      <c r="C272" t="s">
        <v>434</v>
      </c>
      <c r="D272">
        <v>6</v>
      </c>
      <c r="E272">
        <v>36</v>
      </c>
      <c r="F272">
        <v>3845</v>
      </c>
      <c r="G272">
        <v>101</v>
      </c>
      <c r="H272">
        <v>1</v>
      </c>
      <c r="I272">
        <v>1</v>
      </c>
      <c r="J272">
        <v>0</v>
      </c>
    </row>
    <row r="273" spans="1:10">
      <c r="A273" t="s">
        <v>32</v>
      </c>
      <c r="B273">
        <v>2</v>
      </c>
      <c r="C273" t="s">
        <v>435</v>
      </c>
      <c r="D273">
        <v>12</v>
      </c>
      <c r="E273">
        <v>72</v>
      </c>
      <c r="F273">
        <v>9276</v>
      </c>
      <c r="G273">
        <v>184</v>
      </c>
      <c r="H273">
        <v>5</v>
      </c>
      <c r="I273">
        <v>2</v>
      </c>
      <c r="J273">
        <v>0</v>
      </c>
    </row>
    <row r="274" spans="1:10">
      <c r="A274" t="s">
        <v>32</v>
      </c>
      <c r="B274">
        <v>3</v>
      </c>
      <c r="C274" t="s">
        <v>436</v>
      </c>
      <c r="D274">
        <v>18</v>
      </c>
      <c r="E274">
        <v>108</v>
      </c>
      <c r="F274">
        <v>13408</v>
      </c>
      <c r="G274">
        <v>227</v>
      </c>
      <c r="H274">
        <v>8</v>
      </c>
      <c r="I274">
        <v>3</v>
      </c>
      <c r="J274">
        <v>0</v>
      </c>
    </row>
    <row r="275" spans="1:10">
      <c r="A275" t="s">
        <v>32</v>
      </c>
      <c r="B275">
        <v>4</v>
      </c>
      <c r="C275" t="s">
        <v>437</v>
      </c>
      <c r="D275">
        <v>24</v>
      </c>
      <c r="E275">
        <v>144</v>
      </c>
      <c r="F275">
        <v>18340</v>
      </c>
      <c r="G275">
        <v>273</v>
      </c>
      <c r="H275">
        <v>12</v>
      </c>
      <c r="I275">
        <v>4</v>
      </c>
      <c r="J275">
        <v>1</v>
      </c>
    </row>
    <row r="276" spans="1:10">
      <c r="A276" t="s">
        <v>32</v>
      </c>
      <c r="B276">
        <v>5</v>
      </c>
      <c r="C276" t="s">
        <v>438</v>
      </c>
      <c r="D276">
        <v>30</v>
      </c>
      <c r="E276">
        <v>180</v>
      </c>
      <c r="F276">
        <v>22643</v>
      </c>
      <c r="G276">
        <v>312</v>
      </c>
      <c r="H276">
        <v>16</v>
      </c>
      <c r="I276">
        <v>5</v>
      </c>
      <c r="J276">
        <v>1</v>
      </c>
    </row>
    <row r="277" spans="1:10">
      <c r="A277" t="s">
        <v>32</v>
      </c>
      <c r="B277">
        <v>6</v>
      </c>
      <c r="C277" t="s">
        <v>439</v>
      </c>
      <c r="D277">
        <v>36</v>
      </c>
      <c r="E277">
        <v>216</v>
      </c>
      <c r="F277">
        <v>28537</v>
      </c>
      <c r="G277">
        <v>375</v>
      </c>
      <c r="H277">
        <v>17</v>
      </c>
      <c r="I277">
        <v>6</v>
      </c>
      <c r="J277">
        <v>1</v>
      </c>
    </row>
    <row r="278" spans="1:10">
      <c r="A278" t="s">
        <v>32</v>
      </c>
      <c r="B278">
        <v>7</v>
      </c>
      <c r="C278" t="s">
        <v>440</v>
      </c>
      <c r="D278">
        <v>42</v>
      </c>
      <c r="E278">
        <v>252</v>
      </c>
      <c r="F278">
        <v>32832</v>
      </c>
      <c r="G278">
        <v>434</v>
      </c>
      <c r="H278">
        <v>20</v>
      </c>
      <c r="I278">
        <v>7</v>
      </c>
      <c r="J278">
        <v>2</v>
      </c>
    </row>
    <row r="279" spans="1:10">
      <c r="A279" t="s">
        <v>32</v>
      </c>
      <c r="B279">
        <v>8</v>
      </c>
      <c r="C279" t="s">
        <v>441</v>
      </c>
      <c r="D279">
        <v>48</v>
      </c>
      <c r="E279">
        <v>288</v>
      </c>
      <c r="F279">
        <v>36728</v>
      </c>
      <c r="G279">
        <v>460</v>
      </c>
      <c r="H279">
        <v>23</v>
      </c>
      <c r="I279">
        <v>8</v>
      </c>
      <c r="J279">
        <v>2</v>
      </c>
    </row>
    <row r="280" spans="1:10">
      <c r="A280" t="s">
        <v>32</v>
      </c>
      <c r="B280">
        <v>9</v>
      </c>
      <c r="C280" t="s">
        <v>442</v>
      </c>
      <c r="D280">
        <v>54</v>
      </c>
      <c r="E280">
        <v>324</v>
      </c>
      <c r="F280">
        <v>42006</v>
      </c>
      <c r="G280">
        <v>488</v>
      </c>
      <c r="H280">
        <v>25</v>
      </c>
      <c r="I280">
        <v>9</v>
      </c>
      <c r="J280">
        <v>2</v>
      </c>
    </row>
    <row r="281" spans="1:10">
      <c r="A281" t="s">
        <v>32</v>
      </c>
      <c r="B281">
        <v>10</v>
      </c>
      <c r="C281" t="s">
        <v>443</v>
      </c>
      <c r="D281">
        <v>60</v>
      </c>
      <c r="E281">
        <v>360</v>
      </c>
      <c r="F281">
        <v>48053</v>
      </c>
      <c r="G281">
        <v>547</v>
      </c>
      <c r="H281">
        <v>28</v>
      </c>
      <c r="I281">
        <v>10</v>
      </c>
      <c r="J281">
        <v>3</v>
      </c>
    </row>
    <row r="282" spans="1:10">
      <c r="A282" t="s">
        <v>32</v>
      </c>
      <c r="B282">
        <v>11</v>
      </c>
      <c r="C282" t="s">
        <v>444</v>
      </c>
      <c r="D282">
        <v>66</v>
      </c>
      <c r="E282">
        <v>396</v>
      </c>
      <c r="F282">
        <v>52757</v>
      </c>
      <c r="G282">
        <v>563</v>
      </c>
      <c r="H282">
        <v>31</v>
      </c>
      <c r="I282">
        <v>11</v>
      </c>
      <c r="J282">
        <v>3</v>
      </c>
    </row>
    <row r="283" spans="1:10">
      <c r="A283" t="s">
        <v>32</v>
      </c>
      <c r="B283">
        <v>12</v>
      </c>
      <c r="C283" t="s">
        <v>445</v>
      </c>
      <c r="D283">
        <v>72</v>
      </c>
      <c r="E283">
        <v>432</v>
      </c>
      <c r="F283">
        <v>57582</v>
      </c>
      <c r="G283">
        <v>576</v>
      </c>
      <c r="H283">
        <v>33</v>
      </c>
      <c r="I283">
        <v>12</v>
      </c>
      <c r="J283">
        <v>3</v>
      </c>
    </row>
    <row r="284" spans="1:10">
      <c r="A284" t="s">
        <v>32</v>
      </c>
      <c r="B284">
        <v>13</v>
      </c>
      <c r="C284" t="s">
        <v>446</v>
      </c>
      <c r="D284">
        <v>78</v>
      </c>
      <c r="E284">
        <v>468</v>
      </c>
      <c r="F284">
        <v>61721</v>
      </c>
      <c r="G284">
        <v>584</v>
      </c>
      <c r="H284">
        <v>35</v>
      </c>
      <c r="I284">
        <v>13</v>
      </c>
      <c r="J284">
        <v>3</v>
      </c>
    </row>
    <row r="285" spans="1:10">
      <c r="A285" t="s">
        <v>32</v>
      </c>
      <c r="B285">
        <v>14</v>
      </c>
      <c r="C285" t="s">
        <v>447</v>
      </c>
      <c r="D285">
        <v>84</v>
      </c>
      <c r="E285">
        <v>504</v>
      </c>
      <c r="F285">
        <v>66409</v>
      </c>
      <c r="G285">
        <v>645</v>
      </c>
      <c r="H285">
        <v>37</v>
      </c>
      <c r="I285">
        <v>14</v>
      </c>
      <c r="J285">
        <v>4</v>
      </c>
    </row>
    <row r="286" spans="1:10">
      <c r="A286" t="s">
        <v>32</v>
      </c>
      <c r="B286">
        <v>15</v>
      </c>
      <c r="C286" t="s">
        <v>448</v>
      </c>
      <c r="D286">
        <v>90</v>
      </c>
      <c r="E286">
        <v>540</v>
      </c>
      <c r="F286">
        <v>70564</v>
      </c>
      <c r="G286">
        <v>669</v>
      </c>
      <c r="H286">
        <v>40</v>
      </c>
      <c r="I286">
        <v>15</v>
      </c>
      <c r="J286">
        <v>4</v>
      </c>
    </row>
    <row r="287" spans="1:10">
      <c r="A287" t="s">
        <v>32</v>
      </c>
      <c r="B287">
        <v>16</v>
      </c>
      <c r="C287" t="s">
        <v>449</v>
      </c>
      <c r="D287">
        <v>96</v>
      </c>
      <c r="E287">
        <v>576</v>
      </c>
      <c r="F287">
        <v>75833</v>
      </c>
      <c r="G287">
        <v>710</v>
      </c>
      <c r="H287">
        <v>43</v>
      </c>
      <c r="I287">
        <v>16</v>
      </c>
      <c r="J287">
        <v>4</v>
      </c>
    </row>
    <row r="288" spans="1:10">
      <c r="A288" t="s">
        <v>32</v>
      </c>
      <c r="B288">
        <v>17</v>
      </c>
      <c r="C288" t="s">
        <v>450</v>
      </c>
      <c r="D288">
        <v>102</v>
      </c>
      <c r="E288">
        <v>612</v>
      </c>
      <c r="F288">
        <v>81314</v>
      </c>
      <c r="G288">
        <v>739</v>
      </c>
      <c r="H288">
        <v>46</v>
      </c>
      <c r="I288">
        <v>17</v>
      </c>
      <c r="J288">
        <v>5</v>
      </c>
    </row>
    <row r="289" spans="1:10">
      <c r="A289" t="s">
        <v>32</v>
      </c>
      <c r="B289">
        <v>18</v>
      </c>
      <c r="C289" t="s">
        <v>451</v>
      </c>
      <c r="D289">
        <v>108</v>
      </c>
      <c r="E289">
        <v>648</v>
      </c>
      <c r="F289">
        <v>85203</v>
      </c>
      <c r="G289">
        <v>750</v>
      </c>
      <c r="H289">
        <v>48</v>
      </c>
      <c r="I289">
        <v>18</v>
      </c>
      <c r="J289">
        <v>5</v>
      </c>
    </row>
    <row r="290" spans="1:10">
      <c r="A290" t="s">
        <v>32</v>
      </c>
      <c r="B290">
        <v>19</v>
      </c>
      <c r="C290" t="s">
        <v>452</v>
      </c>
      <c r="D290">
        <v>114</v>
      </c>
      <c r="E290">
        <v>684</v>
      </c>
      <c r="F290">
        <v>91018</v>
      </c>
      <c r="G290">
        <v>768</v>
      </c>
      <c r="H290">
        <v>51</v>
      </c>
      <c r="I290">
        <v>19</v>
      </c>
      <c r="J290">
        <v>5</v>
      </c>
    </row>
    <row r="291" spans="1:10">
      <c r="A291" t="s">
        <v>32</v>
      </c>
      <c r="B291">
        <v>20</v>
      </c>
      <c r="C291" t="s">
        <v>453</v>
      </c>
      <c r="D291">
        <v>120</v>
      </c>
      <c r="E291">
        <v>720</v>
      </c>
      <c r="F291">
        <v>99262</v>
      </c>
      <c r="G291">
        <v>812</v>
      </c>
      <c r="H291">
        <v>54</v>
      </c>
      <c r="I291">
        <v>20</v>
      </c>
      <c r="J291">
        <v>6</v>
      </c>
    </row>
    <row r="292" spans="1:10">
      <c r="A292" t="s">
        <v>32</v>
      </c>
      <c r="B292">
        <v>21</v>
      </c>
      <c r="C292" t="s">
        <v>454</v>
      </c>
      <c r="D292">
        <v>126</v>
      </c>
      <c r="E292">
        <v>756</v>
      </c>
      <c r="F292">
        <v>105361</v>
      </c>
      <c r="G292">
        <v>850</v>
      </c>
      <c r="H292">
        <v>56</v>
      </c>
      <c r="I292">
        <v>21</v>
      </c>
      <c r="J292">
        <v>6</v>
      </c>
    </row>
    <row r="293" spans="1:10">
      <c r="A293" t="s">
        <v>32</v>
      </c>
      <c r="B293">
        <v>22</v>
      </c>
      <c r="C293" t="s">
        <v>455</v>
      </c>
      <c r="D293">
        <v>132</v>
      </c>
      <c r="E293">
        <v>792</v>
      </c>
      <c r="F293">
        <v>108957</v>
      </c>
      <c r="G293">
        <v>866</v>
      </c>
      <c r="H293">
        <v>57</v>
      </c>
      <c r="I293">
        <v>22</v>
      </c>
      <c r="J293">
        <v>6</v>
      </c>
    </row>
    <row r="294" spans="1:10">
      <c r="A294" t="s">
        <v>32</v>
      </c>
      <c r="B294">
        <v>23</v>
      </c>
      <c r="C294" t="s">
        <v>456</v>
      </c>
      <c r="D294">
        <v>138</v>
      </c>
      <c r="E294">
        <v>828</v>
      </c>
      <c r="F294">
        <v>114641</v>
      </c>
      <c r="G294">
        <v>917</v>
      </c>
      <c r="H294">
        <v>59</v>
      </c>
      <c r="I294">
        <v>23</v>
      </c>
      <c r="J294">
        <v>7</v>
      </c>
    </row>
    <row r="295" spans="1:10">
      <c r="A295" t="s">
        <v>32</v>
      </c>
      <c r="B295">
        <v>24</v>
      </c>
      <c r="C295" t="s">
        <v>457</v>
      </c>
      <c r="D295">
        <v>144</v>
      </c>
      <c r="E295">
        <v>864</v>
      </c>
      <c r="F295">
        <v>118466</v>
      </c>
      <c r="G295">
        <v>938</v>
      </c>
      <c r="H295">
        <v>62</v>
      </c>
      <c r="I295">
        <v>24</v>
      </c>
      <c r="J295">
        <v>7</v>
      </c>
    </row>
    <row r="296" spans="1:10">
      <c r="A296" t="s">
        <v>32</v>
      </c>
      <c r="B296">
        <v>25</v>
      </c>
      <c r="C296" t="s">
        <v>458</v>
      </c>
      <c r="D296">
        <v>150</v>
      </c>
      <c r="E296">
        <v>900</v>
      </c>
      <c r="F296">
        <v>122672</v>
      </c>
      <c r="G296">
        <v>954</v>
      </c>
      <c r="H296">
        <v>64</v>
      </c>
      <c r="I296">
        <v>25</v>
      </c>
      <c r="J296">
        <v>7</v>
      </c>
    </row>
    <row r="297" spans="1:10">
      <c r="A297" t="s">
        <v>32</v>
      </c>
      <c r="B297">
        <v>26</v>
      </c>
      <c r="C297" t="s">
        <v>459</v>
      </c>
      <c r="D297">
        <v>156</v>
      </c>
      <c r="E297">
        <v>936</v>
      </c>
      <c r="F297">
        <v>126929</v>
      </c>
      <c r="G297">
        <v>960</v>
      </c>
      <c r="H297">
        <v>67</v>
      </c>
      <c r="I297">
        <v>26</v>
      </c>
      <c r="J297">
        <v>7</v>
      </c>
    </row>
    <row r="298" spans="1:10">
      <c r="A298" t="s">
        <v>32</v>
      </c>
      <c r="B298">
        <v>27</v>
      </c>
      <c r="C298" t="s">
        <v>460</v>
      </c>
      <c r="D298">
        <v>162</v>
      </c>
      <c r="E298">
        <v>972</v>
      </c>
      <c r="F298">
        <v>132291</v>
      </c>
      <c r="G298">
        <v>989</v>
      </c>
      <c r="H298">
        <v>70</v>
      </c>
      <c r="I298">
        <v>27</v>
      </c>
      <c r="J298">
        <v>8</v>
      </c>
    </row>
    <row r="299" spans="1:10">
      <c r="A299" t="s">
        <v>32</v>
      </c>
      <c r="B299">
        <v>28</v>
      </c>
      <c r="C299" t="s">
        <v>461</v>
      </c>
      <c r="D299">
        <v>168</v>
      </c>
      <c r="E299">
        <v>1008</v>
      </c>
      <c r="F299">
        <v>136222</v>
      </c>
      <c r="G299">
        <v>1019</v>
      </c>
      <c r="H299">
        <v>72</v>
      </c>
      <c r="I299">
        <v>28</v>
      </c>
      <c r="J299">
        <v>8</v>
      </c>
    </row>
    <row r="300" spans="1:10">
      <c r="A300" t="s">
        <v>32</v>
      </c>
      <c r="B300">
        <v>29</v>
      </c>
      <c r="C300" t="s">
        <v>462</v>
      </c>
      <c r="D300">
        <v>174</v>
      </c>
      <c r="E300">
        <v>1044</v>
      </c>
      <c r="F300">
        <v>142658</v>
      </c>
      <c r="G300">
        <v>1038</v>
      </c>
      <c r="H300">
        <v>75</v>
      </c>
      <c r="I300">
        <v>29</v>
      </c>
      <c r="J300">
        <v>8</v>
      </c>
    </row>
    <row r="301" spans="1:10">
      <c r="A301" t="s">
        <v>32</v>
      </c>
      <c r="B301">
        <v>30</v>
      </c>
      <c r="C301" t="s">
        <v>463</v>
      </c>
      <c r="D301">
        <v>180</v>
      </c>
      <c r="E301">
        <v>1080</v>
      </c>
      <c r="F301">
        <v>147968</v>
      </c>
      <c r="G301">
        <v>1089</v>
      </c>
      <c r="H301">
        <v>76</v>
      </c>
      <c r="I301">
        <v>30</v>
      </c>
      <c r="J301">
        <v>9</v>
      </c>
    </row>
    <row r="302" spans="1:10">
      <c r="A302" t="s">
        <v>32</v>
      </c>
      <c r="B302">
        <v>31</v>
      </c>
      <c r="C302" t="s">
        <v>464</v>
      </c>
      <c r="D302">
        <v>186</v>
      </c>
      <c r="E302">
        <v>1116</v>
      </c>
      <c r="F302">
        <v>151372</v>
      </c>
      <c r="G302">
        <v>1105</v>
      </c>
      <c r="H302">
        <v>78</v>
      </c>
      <c r="I302">
        <v>31</v>
      </c>
      <c r="J302">
        <v>9</v>
      </c>
    </row>
    <row r="303" spans="1:10">
      <c r="A303" t="s">
        <v>32</v>
      </c>
      <c r="B303">
        <v>32</v>
      </c>
      <c r="C303" t="s">
        <v>465</v>
      </c>
      <c r="D303">
        <v>192</v>
      </c>
      <c r="E303">
        <v>1152</v>
      </c>
      <c r="F303">
        <v>155451</v>
      </c>
      <c r="G303">
        <v>1123</v>
      </c>
      <c r="H303">
        <v>79</v>
      </c>
      <c r="I303">
        <v>32</v>
      </c>
      <c r="J303">
        <v>9</v>
      </c>
    </row>
    <row r="304" spans="1:10">
      <c r="A304" t="s">
        <v>32</v>
      </c>
      <c r="B304">
        <v>33</v>
      </c>
      <c r="C304" t="s">
        <v>466</v>
      </c>
      <c r="D304">
        <v>198</v>
      </c>
      <c r="E304">
        <v>1188</v>
      </c>
      <c r="F304">
        <v>161124</v>
      </c>
      <c r="G304">
        <v>1147</v>
      </c>
      <c r="H304">
        <v>83</v>
      </c>
      <c r="I304">
        <v>33</v>
      </c>
      <c r="J304">
        <v>10</v>
      </c>
    </row>
    <row r="305" spans="1:10">
      <c r="A305" t="s">
        <v>32</v>
      </c>
      <c r="B305">
        <v>34</v>
      </c>
      <c r="C305" t="s">
        <v>467</v>
      </c>
      <c r="D305">
        <v>204</v>
      </c>
      <c r="E305">
        <v>1224</v>
      </c>
      <c r="F305">
        <v>166872</v>
      </c>
      <c r="G305">
        <v>1158</v>
      </c>
      <c r="H305">
        <v>85</v>
      </c>
      <c r="I305">
        <v>34</v>
      </c>
      <c r="J305">
        <v>10</v>
      </c>
    </row>
    <row r="306" spans="1:10">
      <c r="A306" t="s">
        <v>32</v>
      </c>
      <c r="B306">
        <v>35</v>
      </c>
      <c r="C306" t="s">
        <v>468</v>
      </c>
      <c r="D306">
        <v>210</v>
      </c>
      <c r="E306">
        <v>1260</v>
      </c>
      <c r="F306">
        <v>172858</v>
      </c>
      <c r="G306">
        <v>1202</v>
      </c>
      <c r="H306">
        <v>88</v>
      </c>
      <c r="I306">
        <v>35</v>
      </c>
      <c r="J306">
        <v>10</v>
      </c>
    </row>
    <row r="307" spans="1:10">
      <c r="A307" t="s">
        <v>32</v>
      </c>
      <c r="B307">
        <v>36</v>
      </c>
      <c r="C307" t="s">
        <v>469</v>
      </c>
      <c r="D307">
        <v>216</v>
      </c>
      <c r="E307">
        <v>1296</v>
      </c>
      <c r="F307">
        <v>177618</v>
      </c>
      <c r="G307">
        <v>1230</v>
      </c>
      <c r="H307">
        <v>90</v>
      </c>
      <c r="I307">
        <v>36</v>
      </c>
      <c r="J307">
        <v>10</v>
      </c>
    </row>
    <row r="308" spans="1:10">
      <c r="A308" t="s">
        <v>32</v>
      </c>
      <c r="B308">
        <v>37</v>
      </c>
      <c r="C308" t="s">
        <v>470</v>
      </c>
      <c r="D308">
        <v>222</v>
      </c>
      <c r="E308">
        <v>1332</v>
      </c>
      <c r="F308">
        <v>184639</v>
      </c>
      <c r="G308">
        <v>1264</v>
      </c>
      <c r="H308">
        <v>93</v>
      </c>
      <c r="I308">
        <v>37</v>
      </c>
      <c r="J308">
        <v>11</v>
      </c>
    </row>
    <row r="309" spans="1:10">
      <c r="A309" t="s">
        <v>32</v>
      </c>
      <c r="B309">
        <v>38</v>
      </c>
      <c r="C309" t="s">
        <v>471</v>
      </c>
      <c r="D309">
        <v>228</v>
      </c>
      <c r="E309">
        <v>1368</v>
      </c>
      <c r="F309">
        <v>189526</v>
      </c>
      <c r="G309">
        <v>1280</v>
      </c>
      <c r="H309">
        <v>95</v>
      </c>
      <c r="I309">
        <v>38</v>
      </c>
      <c r="J309">
        <v>11</v>
      </c>
    </row>
    <row r="310" spans="1:10">
      <c r="A310" t="s">
        <v>32</v>
      </c>
      <c r="B310">
        <v>39</v>
      </c>
      <c r="C310" t="s">
        <v>472</v>
      </c>
      <c r="D310">
        <v>234</v>
      </c>
      <c r="E310">
        <v>1404</v>
      </c>
      <c r="F310">
        <v>194240</v>
      </c>
      <c r="G310">
        <v>1296</v>
      </c>
      <c r="H310">
        <v>97</v>
      </c>
      <c r="I310">
        <v>39</v>
      </c>
      <c r="J310">
        <v>11</v>
      </c>
    </row>
    <row r="311" spans="1:10">
      <c r="A311" t="s">
        <v>32</v>
      </c>
      <c r="B311">
        <v>40</v>
      </c>
      <c r="C311" t="s">
        <v>473</v>
      </c>
      <c r="D311">
        <v>240</v>
      </c>
      <c r="E311">
        <v>1440</v>
      </c>
      <c r="F311">
        <v>198442</v>
      </c>
      <c r="G311">
        <v>1319</v>
      </c>
      <c r="H311">
        <v>100</v>
      </c>
      <c r="I311">
        <v>40</v>
      </c>
      <c r="J311">
        <v>12</v>
      </c>
    </row>
    <row r="312" spans="1:10">
      <c r="A312" t="s">
        <v>32</v>
      </c>
      <c r="B312">
        <v>41</v>
      </c>
      <c r="C312" t="s">
        <v>474</v>
      </c>
      <c r="D312">
        <v>246</v>
      </c>
      <c r="E312">
        <v>1476</v>
      </c>
      <c r="F312">
        <v>202446</v>
      </c>
      <c r="G312">
        <v>1328</v>
      </c>
      <c r="H312">
        <v>103</v>
      </c>
      <c r="I312">
        <v>41</v>
      </c>
      <c r="J312">
        <v>12</v>
      </c>
    </row>
    <row r="313" spans="1:10">
      <c r="A313" t="s">
        <v>32</v>
      </c>
      <c r="B313">
        <v>42</v>
      </c>
      <c r="C313" t="s">
        <v>475</v>
      </c>
      <c r="D313">
        <v>252</v>
      </c>
      <c r="E313">
        <v>1512</v>
      </c>
      <c r="F313">
        <v>206174</v>
      </c>
      <c r="G313">
        <v>1359</v>
      </c>
      <c r="H313">
        <v>105</v>
      </c>
      <c r="I313">
        <v>42</v>
      </c>
      <c r="J313">
        <v>12</v>
      </c>
    </row>
    <row r="314" spans="1:10">
      <c r="A314" t="s">
        <v>32</v>
      </c>
      <c r="B314">
        <v>43</v>
      </c>
      <c r="C314" t="s">
        <v>476</v>
      </c>
      <c r="D314">
        <v>258</v>
      </c>
      <c r="E314">
        <v>1548</v>
      </c>
      <c r="F314">
        <v>209667</v>
      </c>
      <c r="G314">
        <v>1385</v>
      </c>
      <c r="H314">
        <v>107</v>
      </c>
      <c r="I314">
        <v>43</v>
      </c>
      <c r="J314">
        <v>12</v>
      </c>
    </row>
    <row r="315" spans="1:10">
      <c r="A315" t="s">
        <v>32</v>
      </c>
      <c r="B315">
        <v>44</v>
      </c>
      <c r="C315" t="s">
        <v>477</v>
      </c>
      <c r="D315">
        <v>264</v>
      </c>
      <c r="E315">
        <v>1584</v>
      </c>
      <c r="F315">
        <v>212492</v>
      </c>
      <c r="G315">
        <v>1398</v>
      </c>
      <c r="H315">
        <v>109</v>
      </c>
      <c r="I315">
        <v>44</v>
      </c>
      <c r="J315">
        <v>12</v>
      </c>
    </row>
    <row r="316" spans="1:10">
      <c r="A316" t="s">
        <v>32</v>
      </c>
      <c r="B316">
        <v>45</v>
      </c>
      <c r="C316" t="s">
        <v>478</v>
      </c>
      <c r="D316">
        <v>270</v>
      </c>
      <c r="E316">
        <v>1620</v>
      </c>
      <c r="F316">
        <v>215494</v>
      </c>
      <c r="G316">
        <v>1414</v>
      </c>
      <c r="H316">
        <v>112</v>
      </c>
      <c r="I316">
        <v>45</v>
      </c>
      <c r="J316">
        <v>12</v>
      </c>
    </row>
    <row r="317" spans="1:10">
      <c r="A317" t="s">
        <v>32</v>
      </c>
      <c r="B317">
        <v>46</v>
      </c>
      <c r="C317" t="s">
        <v>479</v>
      </c>
      <c r="D317">
        <v>276</v>
      </c>
      <c r="E317">
        <v>1656</v>
      </c>
      <c r="F317">
        <v>218373</v>
      </c>
      <c r="G317">
        <v>1420</v>
      </c>
      <c r="H317">
        <v>114</v>
      </c>
      <c r="I317">
        <v>46</v>
      </c>
      <c r="J317">
        <v>12</v>
      </c>
    </row>
    <row r="318" spans="1:10">
      <c r="A318" t="s">
        <v>32</v>
      </c>
      <c r="B318">
        <v>47</v>
      </c>
      <c r="C318" t="s">
        <v>480</v>
      </c>
      <c r="D318">
        <v>282</v>
      </c>
      <c r="E318">
        <v>1692</v>
      </c>
      <c r="F318">
        <v>221396</v>
      </c>
      <c r="G318">
        <v>1423</v>
      </c>
      <c r="H318">
        <v>117</v>
      </c>
      <c r="I318">
        <v>47</v>
      </c>
      <c r="J318">
        <v>12</v>
      </c>
    </row>
    <row r="319" spans="1:10">
      <c r="A319" t="s">
        <v>32</v>
      </c>
      <c r="B319">
        <v>48</v>
      </c>
      <c r="C319" t="s">
        <v>481</v>
      </c>
      <c r="D319">
        <v>288</v>
      </c>
      <c r="E319">
        <v>1728</v>
      </c>
      <c r="F319">
        <v>224835</v>
      </c>
      <c r="G319">
        <v>1429</v>
      </c>
      <c r="H319">
        <v>119</v>
      </c>
      <c r="I319">
        <v>48</v>
      </c>
      <c r="J319">
        <v>12</v>
      </c>
    </row>
    <row r="320" spans="1:10">
      <c r="A320" t="s">
        <v>32</v>
      </c>
      <c r="B320">
        <v>49</v>
      </c>
      <c r="C320" t="s">
        <v>482</v>
      </c>
      <c r="D320">
        <v>294</v>
      </c>
      <c r="E320">
        <v>1764</v>
      </c>
      <c r="F320">
        <v>227827</v>
      </c>
      <c r="G320">
        <v>1460</v>
      </c>
      <c r="H320">
        <v>120</v>
      </c>
      <c r="I320">
        <v>49</v>
      </c>
      <c r="J320">
        <v>12</v>
      </c>
    </row>
    <row r="321" spans="1:10">
      <c r="A321" t="s">
        <v>32</v>
      </c>
      <c r="B321">
        <v>50</v>
      </c>
      <c r="C321" t="s">
        <v>483</v>
      </c>
      <c r="D321">
        <v>300</v>
      </c>
      <c r="E321">
        <v>1800</v>
      </c>
      <c r="F321">
        <v>230189</v>
      </c>
      <c r="G321">
        <v>1466</v>
      </c>
      <c r="H321">
        <v>122</v>
      </c>
      <c r="I321">
        <v>50</v>
      </c>
      <c r="J321">
        <v>12</v>
      </c>
    </row>
    <row r="322" spans="1:10">
      <c r="A322" t="s">
        <v>32</v>
      </c>
      <c r="B322">
        <v>51</v>
      </c>
      <c r="C322" t="s">
        <v>484</v>
      </c>
      <c r="D322">
        <v>306</v>
      </c>
      <c r="E322">
        <v>1836</v>
      </c>
      <c r="F322">
        <v>233647</v>
      </c>
      <c r="G322">
        <v>1494</v>
      </c>
      <c r="H322">
        <v>123</v>
      </c>
      <c r="I322">
        <v>51</v>
      </c>
      <c r="J322">
        <v>12</v>
      </c>
    </row>
    <row r="323" spans="1:10">
      <c r="A323" t="s">
        <v>32</v>
      </c>
      <c r="B323">
        <v>52</v>
      </c>
      <c r="C323" t="s">
        <v>485</v>
      </c>
      <c r="D323">
        <v>312</v>
      </c>
      <c r="E323">
        <v>1872</v>
      </c>
      <c r="F323">
        <v>236968</v>
      </c>
      <c r="G323">
        <v>1505</v>
      </c>
      <c r="H323">
        <v>125</v>
      </c>
      <c r="I323">
        <v>52</v>
      </c>
      <c r="J323">
        <v>12</v>
      </c>
    </row>
    <row r="324" spans="1:10">
      <c r="A324" t="s">
        <v>32</v>
      </c>
      <c r="B324">
        <v>53</v>
      </c>
      <c r="C324" t="s">
        <v>486</v>
      </c>
      <c r="D324">
        <v>318</v>
      </c>
      <c r="E324">
        <v>1908</v>
      </c>
      <c r="F324">
        <v>240371</v>
      </c>
      <c r="G324">
        <v>1521</v>
      </c>
      <c r="H324">
        <v>127</v>
      </c>
      <c r="I324">
        <v>53</v>
      </c>
      <c r="J324">
        <v>12</v>
      </c>
    </row>
    <row r="325" spans="1:10">
      <c r="A325" t="s">
        <v>32</v>
      </c>
      <c r="B325">
        <v>54</v>
      </c>
      <c r="C325" t="s">
        <v>487</v>
      </c>
      <c r="D325">
        <v>324</v>
      </c>
      <c r="E325">
        <v>1944</v>
      </c>
      <c r="F325">
        <v>243300</v>
      </c>
      <c r="G325">
        <v>1527</v>
      </c>
      <c r="H325">
        <v>130</v>
      </c>
      <c r="I325">
        <v>54</v>
      </c>
      <c r="J325">
        <v>12</v>
      </c>
    </row>
    <row r="326" spans="1:10">
      <c r="A326" t="s">
        <v>32</v>
      </c>
      <c r="B326">
        <v>55</v>
      </c>
      <c r="C326" t="s">
        <v>488</v>
      </c>
      <c r="D326">
        <v>330</v>
      </c>
      <c r="E326">
        <v>1980</v>
      </c>
      <c r="F326">
        <v>246826</v>
      </c>
      <c r="G326">
        <v>1536</v>
      </c>
      <c r="H326">
        <v>133</v>
      </c>
      <c r="I326">
        <v>55</v>
      </c>
      <c r="J326">
        <v>12</v>
      </c>
    </row>
    <row r="327" spans="1:10">
      <c r="A327" t="s">
        <v>32</v>
      </c>
      <c r="B327">
        <v>56</v>
      </c>
      <c r="C327" t="s">
        <v>489</v>
      </c>
      <c r="D327">
        <v>336</v>
      </c>
      <c r="E327">
        <v>2016</v>
      </c>
      <c r="F327">
        <v>251059</v>
      </c>
      <c r="G327">
        <v>1569</v>
      </c>
      <c r="H327">
        <v>134</v>
      </c>
      <c r="I327">
        <v>56</v>
      </c>
      <c r="J327">
        <v>12</v>
      </c>
    </row>
    <row r="328" spans="1:10">
      <c r="A328" t="s">
        <v>32</v>
      </c>
      <c r="B328">
        <v>57</v>
      </c>
      <c r="C328" t="s">
        <v>490</v>
      </c>
      <c r="D328">
        <v>342</v>
      </c>
      <c r="E328">
        <v>2052</v>
      </c>
      <c r="F328">
        <v>253316</v>
      </c>
      <c r="G328">
        <v>1575</v>
      </c>
      <c r="H328">
        <v>136</v>
      </c>
      <c r="I328">
        <v>57</v>
      </c>
      <c r="J328">
        <v>12</v>
      </c>
    </row>
    <row r="329" spans="1:10">
      <c r="A329" t="s">
        <v>32</v>
      </c>
      <c r="B329">
        <v>58</v>
      </c>
      <c r="C329" t="s">
        <v>491</v>
      </c>
      <c r="D329">
        <v>348</v>
      </c>
      <c r="E329">
        <v>2088</v>
      </c>
      <c r="F329">
        <v>258778</v>
      </c>
      <c r="G329">
        <v>1604</v>
      </c>
      <c r="H329">
        <v>139</v>
      </c>
      <c r="I329">
        <v>58</v>
      </c>
      <c r="J329">
        <v>12</v>
      </c>
    </row>
    <row r="330" spans="1:10">
      <c r="A330" t="s">
        <v>32</v>
      </c>
      <c r="B330">
        <v>59</v>
      </c>
      <c r="C330" t="s">
        <v>492</v>
      </c>
      <c r="D330">
        <v>354</v>
      </c>
      <c r="E330">
        <v>2124</v>
      </c>
      <c r="F330">
        <v>262733</v>
      </c>
      <c r="G330">
        <v>1628</v>
      </c>
      <c r="H330">
        <v>142</v>
      </c>
      <c r="I330">
        <v>59</v>
      </c>
      <c r="J330">
        <v>12</v>
      </c>
    </row>
    <row r="331" spans="1:10">
      <c r="A331" t="s">
        <v>32</v>
      </c>
      <c r="B331">
        <v>60</v>
      </c>
      <c r="C331" t="s">
        <v>493</v>
      </c>
      <c r="D331">
        <v>360</v>
      </c>
      <c r="E331">
        <v>2160</v>
      </c>
      <c r="F331">
        <v>265662</v>
      </c>
      <c r="G331">
        <v>1634</v>
      </c>
      <c r="H331">
        <v>144</v>
      </c>
      <c r="I331">
        <v>60</v>
      </c>
      <c r="J331">
        <v>12</v>
      </c>
    </row>
    <row r="332" spans="1:10">
      <c r="A332" t="s">
        <v>32</v>
      </c>
      <c r="B332">
        <v>61</v>
      </c>
      <c r="C332" t="s">
        <v>494</v>
      </c>
      <c r="D332">
        <v>366</v>
      </c>
      <c r="E332">
        <v>2196</v>
      </c>
      <c r="F332">
        <v>268616</v>
      </c>
      <c r="G332">
        <v>1643</v>
      </c>
      <c r="H332">
        <v>148</v>
      </c>
      <c r="I332">
        <v>61</v>
      </c>
      <c r="J332">
        <v>12</v>
      </c>
    </row>
    <row r="333" spans="1:10">
      <c r="A333" t="s">
        <v>32</v>
      </c>
      <c r="B333">
        <v>62</v>
      </c>
      <c r="C333" t="s">
        <v>495</v>
      </c>
      <c r="D333">
        <v>372</v>
      </c>
      <c r="E333">
        <v>2232</v>
      </c>
      <c r="F333">
        <v>272569</v>
      </c>
      <c r="G333">
        <v>1651</v>
      </c>
      <c r="H333">
        <v>150</v>
      </c>
      <c r="I333">
        <v>62</v>
      </c>
      <c r="J333">
        <v>12</v>
      </c>
    </row>
    <row r="334" spans="1:10">
      <c r="A334" t="s">
        <v>32</v>
      </c>
      <c r="B334">
        <v>63</v>
      </c>
      <c r="C334" t="s">
        <v>496</v>
      </c>
      <c r="D334">
        <v>378</v>
      </c>
      <c r="E334">
        <v>2268</v>
      </c>
      <c r="F334">
        <v>275846</v>
      </c>
      <c r="G334">
        <v>1685</v>
      </c>
      <c r="H334">
        <v>153</v>
      </c>
      <c r="I334">
        <v>63</v>
      </c>
      <c r="J334">
        <v>12</v>
      </c>
    </row>
    <row r="335" spans="1:10">
      <c r="A335" t="s">
        <v>32</v>
      </c>
      <c r="B335">
        <v>64</v>
      </c>
      <c r="C335" t="s">
        <v>497</v>
      </c>
      <c r="D335">
        <v>384</v>
      </c>
      <c r="E335">
        <v>2304</v>
      </c>
      <c r="F335">
        <v>279529</v>
      </c>
      <c r="G335">
        <v>1714</v>
      </c>
      <c r="H335">
        <v>156</v>
      </c>
      <c r="I335">
        <v>64</v>
      </c>
      <c r="J335">
        <v>12</v>
      </c>
    </row>
    <row r="336" spans="1:10">
      <c r="A336" t="s">
        <v>32</v>
      </c>
      <c r="B336">
        <v>65</v>
      </c>
      <c r="C336" t="s">
        <v>498</v>
      </c>
      <c r="D336">
        <v>390</v>
      </c>
      <c r="E336">
        <v>2340</v>
      </c>
      <c r="F336">
        <v>282606</v>
      </c>
      <c r="G336">
        <v>1730</v>
      </c>
      <c r="H336">
        <v>158</v>
      </c>
      <c r="I336">
        <v>65</v>
      </c>
      <c r="J336">
        <v>12</v>
      </c>
    </row>
    <row r="337" spans="1:10">
      <c r="A337" t="s">
        <v>32</v>
      </c>
      <c r="B337">
        <v>66</v>
      </c>
      <c r="C337" t="s">
        <v>499</v>
      </c>
      <c r="D337">
        <v>396</v>
      </c>
      <c r="E337">
        <v>2376</v>
      </c>
      <c r="F337">
        <v>286763</v>
      </c>
      <c r="G337">
        <v>1741</v>
      </c>
      <c r="H337">
        <v>161</v>
      </c>
      <c r="I337">
        <v>66</v>
      </c>
      <c r="J337">
        <v>12</v>
      </c>
    </row>
    <row r="338" spans="1:10">
      <c r="A338" t="s">
        <v>32</v>
      </c>
      <c r="B338">
        <v>67</v>
      </c>
      <c r="C338" t="s">
        <v>500</v>
      </c>
      <c r="D338">
        <v>402</v>
      </c>
      <c r="E338">
        <v>2412</v>
      </c>
      <c r="F338">
        <v>290040</v>
      </c>
      <c r="G338">
        <v>1747</v>
      </c>
      <c r="H338">
        <v>162</v>
      </c>
      <c r="I338">
        <v>67</v>
      </c>
      <c r="J338">
        <v>12</v>
      </c>
    </row>
    <row r="339" spans="1:10">
      <c r="A339" t="s">
        <v>32</v>
      </c>
      <c r="B339">
        <v>68</v>
      </c>
      <c r="C339" t="s">
        <v>501</v>
      </c>
      <c r="D339">
        <v>408</v>
      </c>
      <c r="E339">
        <v>2448</v>
      </c>
      <c r="F339">
        <v>294176</v>
      </c>
      <c r="G339">
        <v>1753</v>
      </c>
      <c r="H339">
        <v>165</v>
      </c>
      <c r="I339">
        <v>68</v>
      </c>
      <c r="J339">
        <v>12</v>
      </c>
    </row>
    <row r="340" spans="1:10">
      <c r="A340" t="s">
        <v>32</v>
      </c>
      <c r="B340">
        <v>69</v>
      </c>
      <c r="C340" t="s">
        <v>502</v>
      </c>
      <c r="D340">
        <v>414</v>
      </c>
      <c r="E340">
        <v>2484</v>
      </c>
      <c r="F340">
        <v>298539</v>
      </c>
      <c r="G340">
        <v>1764</v>
      </c>
      <c r="H340">
        <v>168</v>
      </c>
      <c r="I340">
        <v>69</v>
      </c>
      <c r="J340">
        <v>12</v>
      </c>
    </row>
    <row r="341" spans="1:10">
      <c r="A341" t="s">
        <v>32</v>
      </c>
      <c r="B341">
        <v>70</v>
      </c>
      <c r="C341" t="s">
        <v>503</v>
      </c>
      <c r="D341">
        <v>420</v>
      </c>
      <c r="E341">
        <v>2520</v>
      </c>
      <c r="F341">
        <v>301638</v>
      </c>
      <c r="G341">
        <v>1798</v>
      </c>
      <c r="H341">
        <v>171</v>
      </c>
      <c r="I341">
        <v>70</v>
      </c>
      <c r="J341">
        <v>12</v>
      </c>
    </row>
    <row r="342" spans="1:10">
      <c r="A342" t="s">
        <v>32</v>
      </c>
      <c r="B342">
        <v>71</v>
      </c>
      <c r="C342" t="s">
        <v>504</v>
      </c>
      <c r="D342">
        <v>426</v>
      </c>
      <c r="E342">
        <v>2556</v>
      </c>
      <c r="F342">
        <v>305433</v>
      </c>
      <c r="G342">
        <v>1824</v>
      </c>
      <c r="H342">
        <v>172</v>
      </c>
      <c r="I342">
        <v>71</v>
      </c>
      <c r="J342">
        <v>12</v>
      </c>
    </row>
    <row r="343" spans="1:10">
      <c r="A343" t="s">
        <v>32</v>
      </c>
      <c r="B343">
        <v>72</v>
      </c>
      <c r="C343" t="s">
        <v>505</v>
      </c>
      <c r="D343">
        <v>432</v>
      </c>
      <c r="E343">
        <v>2592</v>
      </c>
      <c r="F343">
        <v>308340</v>
      </c>
      <c r="G343">
        <v>1840</v>
      </c>
      <c r="H343">
        <v>173</v>
      </c>
      <c r="I343">
        <v>72</v>
      </c>
      <c r="J343">
        <v>12</v>
      </c>
    </row>
    <row r="344" spans="1:10">
      <c r="A344" t="s">
        <v>32</v>
      </c>
      <c r="B344">
        <v>73</v>
      </c>
      <c r="C344" t="s">
        <v>506</v>
      </c>
      <c r="D344">
        <v>438</v>
      </c>
      <c r="E344">
        <v>2628</v>
      </c>
      <c r="F344">
        <v>311876</v>
      </c>
      <c r="G344">
        <v>1851</v>
      </c>
      <c r="H344">
        <v>175</v>
      </c>
      <c r="I344">
        <v>73</v>
      </c>
      <c r="J344">
        <v>12</v>
      </c>
    </row>
    <row r="345" spans="1:10">
      <c r="A345" t="s">
        <v>32</v>
      </c>
      <c r="B345">
        <v>74</v>
      </c>
      <c r="C345" t="s">
        <v>507</v>
      </c>
      <c r="D345">
        <v>444</v>
      </c>
      <c r="E345">
        <v>2664</v>
      </c>
      <c r="F345">
        <v>315712</v>
      </c>
      <c r="G345">
        <v>1860</v>
      </c>
      <c r="H345">
        <v>178</v>
      </c>
      <c r="I345">
        <v>74</v>
      </c>
      <c r="J345">
        <v>12</v>
      </c>
    </row>
    <row r="346" spans="1:10">
      <c r="A346" t="s">
        <v>32</v>
      </c>
      <c r="B346">
        <v>75</v>
      </c>
      <c r="C346" t="s">
        <v>508</v>
      </c>
      <c r="D346">
        <v>450</v>
      </c>
      <c r="E346">
        <v>2700</v>
      </c>
      <c r="F346">
        <v>320091</v>
      </c>
      <c r="G346">
        <v>1866</v>
      </c>
      <c r="H346">
        <v>181</v>
      </c>
      <c r="I346">
        <v>75</v>
      </c>
      <c r="J346">
        <v>12</v>
      </c>
    </row>
    <row r="347" spans="1:10">
      <c r="A347" t="s">
        <v>32</v>
      </c>
      <c r="B347">
        <v>76</v>
      </c>
      <c r="C347" t="s">
        <v>509</v>
      </c>
      <c r="D347">
        <v>456</v>
      </c>
      <c r="E347">
        <v>2736</v>
      </c>
      <c r="F347">
        <v>324045</v>
      </c>
      <c r="G347">
        <v>1877</v>
      </c>
      <c r="H347">
        <v>184</v>
      </c>
      <c r="I347">
        <v>76</v>
      </c>
      <c r="J347">
        <v>12</v>
      </c>
    </row>
    <row r="348" spans="1:10">
      <c r="A348" t="s">
        <v>32</v>
      </c>
      <c r="B348">
        <v>77</v>
      </c>
      <c r="C348" t="s">
        <v>510</v>
      </c>
      <c r="D348">
        <v>462</v>
      </c>
      <c r="E348">
        <v>2772</v>
      </c>
      <c r="F348">
        <v>327129</v>
      </c>
      <c r="G348">
        <v>1911</v>
      </c>
      <c r="H348">
        <v>187</v>
      </c>
      <c r="I348">
        <v>77</v>
      </c>
      <c r="J348">
        <v>12</v>
      </c>
    </row>
    <row r="349" spans="1:10">
      <c r="A349" t="s">
        <v>32</v>
      </c>
      <c r="B349">
        <v>78</v>
      </c>
      <c r="C349" t="s">
        <v>511</v>
      </c>
      <c r="D349">
        <v>468</v>
      </c>
      <c r="E349">
        <v>2808</v>
      </c>
      <c r="F349">
        <v>329471</v>
      </c>
      <c r="G349">
        <v>1917</v>
      </c>
      <c r="H349">
        <v>189</v>
      </c>
      <c r="I349">
        <v>78</v>
      </c>
      <c r="J349">
        <v>12</v>
      </c>
    </row>
    <row r="350" spans="1:10">
      <c r="A350" t="s">
        <v>32</v>
      </c>
      <c r="B350">
        <v>79</v>
      </c>
      <c r="C350" t="s">
        <v>512</v>
      </c>
      <c r="D350">
        <v>474</v>
      </c>
      <c r="E350">
        <v>2844</v>
      </c>
      <c r="F350">
        <v>331773</v>
      </c>
      <c r="G350">
        <v>1923</v>
      </c>
      <c r="H350">
        <v>190</v>
      </c>
      <c r="I350">
        <v>79</v>
      </c>
      <c r="J350">
        <v>12</v>
      </c>
    </row>
    <row r="351" spans="1:10">
      <c r="A351" t="s">
        <v>32</v>
      </c>
      <c r="B351">
        <v>80</v>
      </c>
      <c r="C351" t="s">
        <v>513</v>
      </c>
      <c r="D351">
        <v>480</v>
      </c>
      <c r="E351">
        <v>2880</v>
      </c>
      <c r="F351">
        <v>335563</v>
      </c>
      <c r="G351">
        <v>1951</v>
      </c>
      <c r="H351">
        <v>191</v>
      </c>
      <c r="I351">
        <v>80</v>
      </c>
      <c r="J351">
        <v>12</v>
      </c>
    </row>
    <row r="352" spans="1:10">
      <c r="A352" t="s">
        <v>32</v>
      </c>
      <c r="B352">
        <v>81</v>
      </c>
      <c r="C352" t="s">
        <v>514</v>
      </c>
      <c r="D352">
        <v>486</v>
      </c>
      <c r="E352">
        <v>2916</v>
      </c>
      <c r="F352">
        <v>339260</v>
      </c>
      <c r="G352">
        <v>1967</v>
      </c>
      <c r="H352">
        <v>193</v>
      </c>
      <c r="I352">
        <v>81</v>
      </c>
      <c r="J352">
        <v>12</v>
      </c>
    </row>
    <row r="353" spans="1:10">
      <c r="A353" t="s">
        <v>32</v>
      </c>
      <c r="B353">
        <v>82</v>
      </c>
      <c r="C353" t="s">
        <v>515</v>
      </c>
      <c r="D353">
        <v>492</v>
      </c>
      <c r="E353">
        <v>2952</v>
      </c>
      <c r="F353">
        <v>342691</v>
      </c>
      <c r="G353">
        <v>1973</v>
      </c>
      <c r="H353">
        <v>196</v>
      </c>
      <c r="I353">
        <v>82</v>
      </c>
      <c r="J353">
        <v>12</v>
      </c>
    </row>
    <row r="354" spans="1:10">
      <c r="A354" t="s">
        <v>32</v>
      </c>
      <c r="B354">
        <v>83</v>
      </c>
      <c r="C354" t="s">
        <v>516</v>
      </c>
      <c r="D354">
        <v>498</v>
      </c>
      <c r="E354">
        <v>2988</v>
      </c>
      <c r="F354">
        <v>345482</v>
      </c>
      <c r="G354">
        <v>1984</v>
      </c>
      <c r="H354">
        <v>199</v>
      </c>
      <c r="I354">
        <v>83</v>
      </c>
      <c r="J354">
        <v>12</v>
      </c>
    </row>
    <row r="355" spans="1:10">
      <c r="A355" t="s">
        <v>32</v>
      </c>
      <c r="B355">
        <v>84</v>
      </c>
      <c r="C355" t="s">
        <v>517</v>
      </c>
      <c r="D355">
        <v>504</v>
      </c>
      <c r="E355">
        <v>3024</v>
      </c>
      <c r="F355">
        <v>349127</v>
      </c>
      <c r="G355">
        <v>2018</v>
      </c>
      <c r="H355">
        <v>202</v>
      </c>
      <c r="I355">
        <v>84</v>
      </c>
      <c r="J355">
        <v>12</v>
      </c>
    </row>
    <row r="356" spans="1:10">
      <c r="A356" t="s">
        <v>32</v>
      </c>
      <c r="B356">
        <v>85</v>
      </c>
      <c r="C356" t="s">
        <v>518</v>
      </c>
      <c r="D356">
        <v>510</v>
      </c>
      <c r="E356">
        <v>3060</v>
      </c>
      <c r="F356">
        <v>351973</v>
      </c>
      <c r="G356">
        <v>2034</v>
      </c>
      <c r="H356">
        <v>204</v>
      </c>
      <c r="I356">
        <v>85</v>
      </c>
      <c r="J356">
        <v>12</v>
      </c>
    </row>
    <row r="357" spans="1:10">
      <c r="A357" t="s">
        <v>32</v>
      </c>
      <c r="B357">
        <v>86</v>
      </c>
      <c r="C357" t="s">
        <v>519</v>
      </c>
      <c r="D357">
        <v>516</v>
      </c>
      <c r="E357">
        <v>3096</v>
      </c>
      <c r="F357">
        <v>355293</v>
      </c>
      <c r="G357">
        <v>2050</v>
      </c>
      <c r="H357">
        <v>206</v>
      </c>
      <c r="I357">
        <v>86</v>
      </c>
      <c r="J357">
        <v>12</v>
      </c>
    </row>
    <row r="358" spans="1:10">
      <c r="A358" t="s">
        <v>32</v>
      </c>
      <c r="B358">
        <v>87</v>
      </c>
      <c r="C358" t="s">
        <v>520</v>
      </c>
      <c r="D358">
        <v>522</v>
      </c>
      <c r="E358">
        <v>3132</v>
      </c>
      <c r="F358">
        <v>359043</v>
      </c>
      <c r="G358">
        <v>2074</v>
      </c>
      <c r="H358">
        <v>209</v>
      </c>
      <c r="I358">
        <v>87</v>
      </c>
      <c r="J358">
        <v>12</v>
      </c>
    </row>
    <row r="359" spans="1:10">
      <c r="A359" t="s">
        <v>32</v>
      </c>
      <c r="B359">
        <v>88</v>
      </c>
      <c r="C359" t="s">
        <v>521</v>
      </c>
      <c r="D359">
        <v>528</v>
      </c>
      <c r="E359">
        <v>3168</v>
      </c>
      <c r="F359">
        <v>362575</v>
      </c>
      <c r="G359">
        <v>2080</v>
      </c>
      <c r="H359">
        <v>211</v>
      </c>
      <c r="I359">
        <v>88</v>
      </c>
      <c r="J359">
        <v>12</v>
      </c>
    </row>
    <row r="360" spans="1:10">
      <c r="A360" t="s">
        <v>32</v>
      </c>
      <c r="B360">
        <v>89</v>
      </c>
      <c r="C360" t="s">
        <v>522</v>
      </c>
      <c r="D360">
        <v>534</v>
      </c>
      <c r="E360">
        <v>3204</v>
      </c>
      <c r="F360">
        <v>365352</v>
      </c>
      <c r="G360">
        <v>2086</v>
      </c>
      <c r="H360">
        <v>214</v>
      </c>
      <c r="I360">
        <v>89</v>
      </c>
      <c r="J360">
        <v>12</v>
      </c>
    </row>
    <row r="361" spans="1:10">
      <c r="A361" t="s">
        <v>32</v>
      </c>
      <c r="B361">
        <v>90</v>
      </c>
      <c r="C361" t="s">
        <v>523</v>
      </c>
      <c r="D361">
        <v>540</v>
      </c>
      <c r="E361">
        <v>3240</v>
      </c>
      <c r="F361">
        <v>368767</v>
      </c>
      <c r="G361">
        <v>2095</v>
      </c>
      <c r="H361">
        <v>217</v>
      </c>
      <c r="I361">
        <v>90</v>
      </c>
      <c r="J361">
        <v>12</v>
      </c>
    </row>
    <row r="362" spans="1:10">
      <c r="A362" t="s">
        <v>33</v>
      </c>
      <c r="B362">
        <v>1</v>
      </c>
      <c r="C362" t="s">
        <v>434</v>
      </c>
      <c r="D362">
        <v>3</v>
      </c>
      <c r="E362">
        <v>18</v>
      </c>
      <c r="F362">
        <v>1810</v>
      </c>
      <c r="G362">
        <v>82</v>
      </c>
      <c r="H362">
        <v>1</v>
      </c>
      <c r="I362">
        <v>1</v>
      </c>
      <c r="J362">
        <v>0</v>
      </c>
    </row>
    <row r="363" spans="1:10">
      <c r="A363" t="s">
        <v>33</v>
      </c>
      <c r="B363">
        <v>2</v>
      </c>
      <c r="C363" t="s">
        <v>435</v>
      </c>
      <c r="D363">
        <v>6</v>
      </c>
      <c r="E363">
        <v>36</v>
      </c>
      <c r="F363">
        <v>4276</v>
      </c>
      <c r="G363">
        <v>99</v>
      </c>
      <c r="H363">
        <v>4</v>
      </c>
      <c r="I363">
        <v>2</v>
      </c>
      <c r="J363">
        <v>0</v>
      </c>
    </row>
    <row r="364" spans="1:10">
      <c r="A364" t="s">
        <v>33</v>
      </c>
      <c r="B364">
        <v>3</v>
      </c>
      <c r="C364" t="s">
        <v>436</v>
      </c>
      <c r="D364">
        <v>9</v>
      </c>
      <c r="E364">
        <v>54</v>
      </c>
      <c r="F364">
        <v>6786</v>
      </c>
      <c r="G364">
        <v>139</v>
      </c>
      <c r="H364">
        <v>7</v>
      </c>
      <c r="I364">
        <v>3</v>
      </c>
      <c r="J364">
        <v>0</v>
      </c>
    </row>
    <row r="365" spans="1:10">
      <c r="A365" t="s">
        <v>33</v>
      </c>
      <c r="B365">
        <v>4</v>
      </c>
      <c r="C365" t="s">
        <v>437</v>
      </c>
      <c r="D365">
        <v>12</v>
      </c>
      <c r="E365">
        <v>72</v>
      </c>
      <c r="F365">
        <v>10532</v>
      </c>
      <c r="G365">
        <v>184</v>
      </c>
      <c r="H365">
        <v>11</v>
      </c>
      <c r="I365">
        <v>4</v>
      </c>
      <c r="J365">
        <v>0</v>
      </c>
    </row>
    <row r="366" spans="1:10">
      <c r="A366" t="s">
        <v>33</v>
      </c>
      <c r="B366">
        <v>5</v>
      </c>
      <c r="C366" t="s">
        <v>438</v>
      </c>
      <c r="D366">
        <v>15</v>
      </c>
      <c r="E366">
        <v>90</v>
      </c>
      <c r="F366">
        <v>12968</v>
      </c>
      <c r="G366">
        <v>212</v>
      </c>
      <c r="H366">
        <v>13</v>
      </c>
      <c r="I366">
        <v>5</v>
      </c>
      <c r="J366">
        <v>0</v>
      </c>
    </row>
    <row r="367" spans="1:10">
      <c r="A367" t="s">
        <v>33</v>
      </c>
      <c r="B367">
        <v>6</v>
      </c>
      <c r="C367" t="s">
        <v>439</v>
      </c>
      <c r="D367">
        <v>18</v>
      </c>
      <c r="E367">
        <v>108</v>
      </c>
      <c r="F367">
        <v>16233</v>
      </c>
      <c r="G367">
        <v>242</v>
      </c>
      <c r="H367">
        <v>14</v>
      </c>
      <c r="I367">
        <v>6</v>
      </c>
      <c r="J367">
        <v>0</v>
      </c>
    </row>
    <row r="368" spans="1:10">
      <c r="A368" t="s">
        <v>33</v>
      </c>
      <c r="B368">
        <v>7</v>
      </c>
      <c r="C368" t="s">
        <v>440</v>
      </c>
      <c r="D368">
        <v>21</v>
      </c>
      <c r="E368">
        <v>126</v>
      </c>
      <c r="F368">
        <v>19407</v>
      </c>
      <c r="G368">
        <v>270</v>
      </c>
      <c r="H368">
        <v>15</v>
      </c>
      <c r="I368">
        <v>7</v>
      </c>
      <c r="J368">
        <v>0</v>
      </c>
    </row>
    <row r="369" spans="1:10">
      <c r="A369" t="s">
        <v>33</v>
      </c>
      <c r="B369">
        <v>8</v>
      </c>
      <c r="C369" t="s">
        <v>441</v>
      </c>
      <c r="D369">
        <v>24</v>
      </c>
      <c r="E369">
        <v>144</v>
      </c>
      <c r="F369">
        <v>22223</v>
      </c>
      <c r="G369">
        <v>297</v>
      </c>
      <c r="H369">
        <v>17</v>
      </c>
      <c r="I369">
        <v>8</v>
      </c>
      <c r="J369">
        <v>1</v>
      </c>
    </row>
    <row r="370" spans="1:10">
      <c r="A370" t="s">
        <v>33</v>
      </c>
      <c r="B370">
        <v>9</v>
      </c>
      <c r="C370" t="s">
        <v>442</v>
      </c>
      <c r="D370">
        <v>27</v>
      </c>
      <c r="E370">
        <v>162</v>
      </c>
      <c r="F370">
        <v>24420</v>
      </c>
      <c r="G370">
        <v>312</v>
      </c>
      <c r="H370">
        <v>18</v>
      </c>
      <c r="I370">
        <v>9</v>
      </c>
      <c r="J370">
        <v>1</v>
      </c>
    </row>
    <row r="371" spans="1:10">
      <c r="A371" t="s">
        <v>33</v>
      </c>
      <c r="B371">
        <v>10</v>
      </c>
      <c r="C371" t="s">
        <v>443</v>
      </c>
      <c r="D371">
        <v>30</v>
      </c>
      <c r="E371">
        <v>180</v>
      </c>
      <c r="F371">
        <v>27184</v>
      </c>
      <c r="G371">
        <v>350</v>
      </c>
      <c r="H371">
        <v>20</v>
      </c>
      <c r="I371">
        <v>10</v>
      </c>
      <c r="J371">
        <v>1</v>
      </c>
    </row>
    <row r="372" spans="1:10">
      <c r="A372" t="s">
        <v>33</v>
      </c>
      <c r="B372">
        <v>11</v>
      </c>
      <c r="C372" t="s">
        <v>444</v>
      </c>
      <c r="D372">
        <v>33</v>
      </c>
      <c r="E372">
        <v>198</v>
      </c>
      <c r="F372">
        <v>30217</v>
      </c>
      <c r="G372">
        <v>385</v>
      </c>
      <c r="H372">
        <v>22</v>
      </c>
      <c r="I372">
        <v>11</v>
      </c>
      <c r="J372">
        <v>1</v>
      </c>
    </row>
    <row r="373" spans="1:10">
      <c r="A373" t="s">
        <v>33</v>
      </c>
      <c r="B373">
        <v>12</v>
      </c>
      <c r="C373" t="s">
        <v>445</v>
      </c>
      <c r="D373">
        <v>36</v>
      </c>
      <c r="E373">
        <v>216</v>
      </c>
      <c r="F373">
        <v>33545</v>
      </c>
      <c r="G373">
        <v>425</v>
      </c>
      <c r="H373">
        <v>24</v>
      </c>
      <c r="I373">
        <v>12</v>
      </c>
      <c r="J373">
        <v>1</v>
      </c>
    </row>
    <row r="374" spans="1:10">
      <c r="A374" t="s">
        <v>33</v>
      </c>
      <c r="B374">
        <v>13</v>
      </c>
      <c r="C374" t="s">
        <v>446</v>
      </c>
      <c r="D374">
        <v>39</v>
      </c>
      <c r="E374">
        <v>234</v>
      </c>
      <c r="F374">
        <v>36452</v>
      </c>
      <c r="G374">
        <v>430</v>
      </c>
      <c r="H374">
        <v>26</v>
      </c>
      <c r="I374">
        <v>13</v>
      </c>
      <c r="J374">
        <v>1</v>
      </c>
    </row>
    <row r="375" spans="1:10">
      <c r="A375" t="s">
        <v>33</v>
      </c>
      <c r="B375">
        <v>14</v>
      </c>
      <c r="C375" t="s">
        <v>447</v>
      </c>
      <c r="D375">
        <v>42</v>
      </c>
      <c r="E375">
        <v>252</v>
      </c>
      <c r="F375">
        <v>38881</v>
      </c>
      <c r="G375">
        <v>458</v>
      </c>
      <c r="H375">
        <v>28</v>
      </c>
      <c r="I375">
        <v>14</v>
      </c>
      <c r="J375">
        <v>1</v>
      </c>
    </row>
    <row r="376" spans="1:10">
      <c r="A376" t="s">
        <v>33</v>
      </c>
      <c r="B376">
        <v>15</v>
      </c>
      <c r="C376" t="s">
        <v>448</v>
      </c>
      <c r="D376">
        <v>45</v>
      </c>
      <c r="E376">
        <v>270</v>
      </c>
      <c r="F376">
        <v>41997</v>
      </c>
      <c r="G376">
        <v>476</v>
      </c>
      <c r="H376">
        <v>30</v>
      </c>
      <c r="I376">
        <v>15</v>
      </c>
      <c r="J376">
        <v>2</v>
      </c>
    </row>
    <row r="377" spans="1:10">
      <c r="A377" t="s">
        <v>33</v>
      </c>
      <c r="B377">
        <v>16</v>
      </c>
      <c r="C377" t="s">
        <v>449</v>
      </c>
      <c r="D377">
        <v>48</v>
      </c>
      <c r="E377">
        <v>288</v>
      </c>
      <c r="F377">
        <v>44241</v>
      </c>
      <c r="G377">
        <v>489</v>
      </c>
      <c r="H377">
        <v>32</v>
      </c>
      <c r="I377">
        <v>16</v>
      </c>
      <c r="J377">
        <v>2</v>
      </c>
    </row>
    <row r="378" spans="1:10">
      <c r="A378" t="s">
        <v>33</v>
      </c>
      <c r="B378">
        <v>17</v>
      </c>
      <c r="C378" t="s">
        <v>450</v>
      </c>
      <c r="D378">
        <v>51</v>
      </c>
      <c r="E378">
        <v>306</v>
      </c>
      <c r="F378">
        <v>47126</v>
      </c>
      <c r="G378">
        <v>514</v>
      </c>
      <c r="H378">
        <v>35</v>
      </c>
      <c r="I378">
        <v>17</v>
      </c>
      <c r="J378">
        <v>2</v>
      </c>
    </row>
    <row r="379" spans="1:10">
      <c r="A379" t="s">
        <v>33</v>
      </c>
      <c r="B379">
        <v>18</v>
      </c>
      <c r="C379" t="s">
        <v>451</v>
      </c>
      <c r="D379">
        <v>54</v>
      </c>
      <c r="E379">
        <v>324</v>
      </c>
      <c r="F379">
        <v>50056</v>
      </c>
      <c r="G379">
        <v>534</v>
      </c>
      <c r="H379">
        <v>36</v>
      </c>
      <c r="I379">
        <v>18</v>
      </c>
      <c r="J379">
        <v>2</v>
      </c>
    </row>
    <row r="380" spans="1:10">
      <c r="A380" t="s">
        <v>33</v>
      </c>
      <c r="B380">
        <v>19</v>
      </c>
      <c r="C380" t="s">
        <v>452</v>
      </c>
      <c r="D380">
        <v>57</v>
      </c>
      <c r="E380">
        <v>342</v>
      </c>
      <c r="F380">
        <v>54014</v>
      </c>
      <c r="G380">
        <v>557</v>
      </c>
      <c r="H380">
        <v>38</v>
      </c>
      <c r="I380">
        <v>19</v>
      </c>
      <c r="J380">
        <v>2</v>
      </c>
    </row>
    <row r="381" spans="1:10">
      <c r="A381" t="s">
        <v>33</v>
      </c>
      <c r="B381">
        <v>20</v>
      </c>
      <c r="C381" t="s">
        <v>453</v>
      </c>
      <c r="D381">
        <v>60</v>
      </c>
      <c r="E381">
        <v>360</v>
      </c>
      <c r="F381">
        <v>56562</v>
      </c>
      <c r="G381">
        <v>562</v>
      </c>
      <c r="H381">
        <v>40</v>
      </c>
      <c r="I381">
        <v>20</v>
      </c>
      <c r="J381">
        <v>2</v>
      </c>
    </row>
    <row r="382" spans="1:10">
      <c r="A382" t="s">
        <v>33</v>
      </c>
      <c r="B382">
        <v>21</v>
      </c>
      <c r="C382" t="s">
        <v>454</v>
      </c>
      <c r="D382">
        <v>63</v>
      </c>
      <c r="E382">
        <v>378</v>
      </c>
      <c r="F382">
        <v>58833</v>
      </c>
      <c r="G382">
        <v>590</v>
      </c>
      <c r="H382">
        <v>42</v>
      </c>
      <c r="I382">
        <v>21</v>
      </c>
      <c r="J382">
        <v>2</v>
      </c>
    </row>
    <row r="383" spans="1:10">
      <c r="A383" t="s">
        <v>33</v>
      </c>
      <c r="B383">
        <v>22</v>
      </c>
      <c r="C383" t="s">
        <v>455</v>
      </c>
      <c r="D383">
        <v>66</v>
      </c>
      <c r="E383">
        <v>396</v>
      </c>
      <c r="F383">
        <v>63477</v>
      </c>
      <c r="G383">
        <v>608</v>
      </c>
      <c r="H383">
        <v>43</v>
      </c>
      <c r="I383">
        <v>22</v>
      </c>
      <c r="J383">
        <v>3</v>
      </c>
    </row>
    <row r="384" spans="1:10">
      <c r="A384" t="s">
        <v>33</v>
      </c>
      <c r="B384">
        <v>23</v>
      </c>
      <c r="C384" t="s">
        <v>456</v>
      </c>
      <c r="D384">
        <v>69</v>
      </c>
      <c r="E384">
        <v>414</v>
      </c>
      <c r="F384">
        <v>66099</v>
      </c>
      <c r="G384">
        <v>608</v>
      </c>
      <c r="H384">
        <v>45</v>
      </c>
      <c r="I384">
        <v>23</v>
      </c>
      <c r="J384">
        <v>3</v>
      </c>
    </row>
    <row r="385" spans="1:10">
      <c r="A385" t="s">
        <v>33</v>
      </c>
      <c r="B385">
        <v>24</v>
      </c>
      <c r="C385" t="s">
        <v>457</v>
      </c>
      <c r="D385">
        <v>72</v>
      </c>
      <c r="E385">
        <v>432</v>
      </c>
      <c r="F385">
        <v>68801</v>
      </c>
      <c r="G385">
        <v>633</v>
      </c>
      <c r="H385">
        <v>48</v>
      </c>
      <c r="I385">
        <v>24</v>
      </c>
      <c r="J385">
        <v>3</v>
      </c>
    </row>
    <row r="386" spans="1:10">
      <c r="A386" t="s">
        <v>33</v>
      </c>
      <c r="B386">
        <v>25</v>
      </c>
      <c r="C386" t="s">
        <v>458</v>
      </c>
      <c r="D386">
        <v>75</v>
      </c>
      <c r="E386">
        <v>450</v>
      </c>
      <c r="F386">
        <v>71500</v>
      </c>
      <c r="G386">
        <v>656</v>
      </c>
      <c r="H386">
        <v>50</v>
      </c>
      <c r="I386">
        <v>25</v>
      </c>
      <c r="J386">
        <v>3</v>
      </c>
    </row>
    <row r="387" spans="1:10">
      <c r="A387" t="s">
        <v>33</v>
      </c>
      <c r="B387">
        <v>26</v>
      </c>
      <c r="C387" t="s">
        <v>459</v>
      </c>
      <c r="D387">
        <v>78</v>
      </c>
      <c r="E387">
        <v>468</v>
      </c>
      <c r="F387">
        <v>73142</v>
      </c>
      <c r="G387">
        <v>674</v>
      </c>
      <c r="H387">
        <v>52</v>
      </c>
      <c r="I387">
        <v>26</v>
      </c>
      <c r="J387">
        <v>3</v>
      </c>
    </row>
    <row r="388" spans="1:10">
      <c r="A388" t="s">
        <v>33</v>
      </c>
      <c r="B388">
        <v>27</v>
      </c>
      <c r="C388" t="s">
        <v>460</v>
      </c>
      <c r="D388">
        <v>81</v>
      </c>
      <c r="E388">
        <v>486</v>
      </c>
      <c r="F388">
        <v>75559</v>
      </c>
      <c r="G388">
        <v>687</v>
      </c>
      <c r="H388">
        <v>53</v>
      </c>
      <c r="I388">
        <v>27</v>
      </c>
      <c r="J388">
        <v>3</v>
      </c>
    </row>
    <row r="389" spans="1:10">
      <c r="A389" t="s">
        <v>33</v>
      </c>
      <c r="B389">
        <v>28</v>
      </c>
      <c r="C389" t="s">
        <v>461</v>
      </c>
      <c r="D389">
        <v>84</v>
      </c>
      <c r="E389">
        <v>504</v>
      </c>
      <c r="F389">
        <v>76796</v>
      </c>
      <c r="G389">
        <v>712</v>
      </c>
      <c r="H389">
        <v>53</v>
      </c>
      <c r="I389">
        <v>28</v>
      </c>
      <c r="J389">
        <v>3</v>
      </c>
    </row>
    <row r="390" spans="1:10">
      <c r="A390" t="s">
        <v>33</v>
      </c>
      <c r="B390">
        <v>29</v>
      </c>
      <c r="C390" t="s">
        <v>462</v>
      </c>
      <c r="D390">
        <v>87</v>
      </c>
      <c r="E390">
        <v>522</v>
      </c>
      <c r="F390">
        <v>78630</v>
      </c>
      <c r="G390">
        <v>715</v>
      </c>
      <c r="H390">
        <v>53</v>
      </c>
      <c r="I390">
        <v>29</v>
      </c>
      <c r="J390">
        <v>3</v>
      </c>
    </row>
    <row r="391" spans="1:10">
      <c r="A391" t="s">
        <v>33</v>
      </c>
      <c r="B391">
        <v>30</v>
      </c>
      <c r="C391" t="s">
        <v>463</v>
      </c>
      <c r="D391">
        <v>90</v>
      </c>
      <c r="E391">
        <v>540</v>
      </c>
      <c r="F391">
        <v>80157</v>
      </c>
      <c r="G391">
        <v>720</v>
      </c>
      <c r="H391">
        <v>53</v>
      </c>
      <c r="I391">
        <v>30</v>
      </c>
      <c r="J391">
        <v>3</v>
      </c>
    </row>
    <row r="392" spans="1:10">
      <c r="A392" t="s">
        <v>33</v>
      </c>
      <c r="B392">
        <v>31</v>
      </c>
      <c r="C392" t="s">
        <v>464</v>
      </c>
      <c r="D392">
        <v>93</v>
      </c>
      <c r="E392">
        <v>558</v>
      </c>
      <c r="F392">
        <v>83969</v>
      </c>
      <c r="G392">
        <v>766</v>
      </c>
      <c r="H392">
        <v>56</v>
      </c>
      <c r="I392">
        <v>31</v>
      </c>
      <c r="J392">
        <v>4</v>
      </c>
    </row>
    <row r="393" spans="1:10">
      <c r="A393" t="s">
        <v>33</v>
      </c>
      <c r="B393">
        <v>32</v>
      </c>
      <c r="C393" t="s">
        <v>465</v>
      </c>
      <c r="D393">
        <v>96</v>
      </c>
      <c r="E393">
        <v>576</v>
      </c>
      <c r="F393">
        <v>87132</v>
      </c>
      <c r="G393">
        <v>784</v>
      </c>
      <c r="H393">
        <v>57</v>
      </c>
      <c r="I393">
        <v>32</v>
      </c>
      <c r="J393">
        <v>4</v>
      </c>
    </row>
    <row r="394" spans="1:10">
      <c r="A394" t="s">
        <v>33</v>
      </c>
      <c r="B394">
        <v>33</v>
      </c>
      <c r="C394" t="s">
        <v>466</v>
      </c>
      <c r="D394">
        <v>99</v>
      </c>
      <c r="E394">
        <v>594</v>
      </c>
      <c r="F394">
        <v>88473</v>
      </c>
      <c r="G394">
        <v>787</v>
      </c>
      <c r="H394">
        <v>59</v>
      </c>
      <c r="I394">
        <v>33</v>
      </c>
      <c r="J394">
        <v>4</v>
      </c>
    </row>
    <row r="395" spans="1:10">
      <c r="A395" t="s">
        <v>33</v>
      </c>
      <c r="B395">
        <v>34</v>
      </c>
      <c r="C395" t="s">
        <v>467</v>
      </c>
      <c r="D395">
        <v>102</v>
      </c>
      <c r="E395">
        <v>612</v>
      </c>
      <c r="F395">
        <v>92703</v>
      </c>
      <c r="G395">
        <v>790</v>
      </c>
      <c r="H395">
        <v>61</v>
      </c>
      <c r="I395">
        <v>34</v>
      </c>
      <c r="J395">
        <v>4</v>
      </c>
    </row>
    <row r="396" spans="1:10">
      <c r="A396" t="s">
        <v>33</v>
      </c>
      <c r="B396">
        <v>35</v>
      </c>
      <c r="C396" t="s">
        <v>468</v>
      </c>
      <c r="D396">
        <v>105</v>
      </c>
      <c r="E396">
        <v>630</v>
      </c>
      <c r="F396">
        <v>95134</v>
      </c>
      <c r="G396">
        <v>830</v>
      </c>
      <c r="H396">
        <v>63</v>
      </c>
      <c r="I396">
        <v>35</v>
      </c>
      <c r="J396">
        <v>4</v>
      </c>
    </row>
    <row r="397" spans="1:10">
      <c r="A397" t="s">
        <v>33</v>
      </c>
      <c r="B397">
        <v>36</v>
      </c>
      <c r="C397" t="s">
        <v>469</v>
      </c>
      <c r="D397">
        <v>108</v>
      </c>
      <c r="E397">
        <v>648</v>
      </c>
      <c r="F397">
        <v>97780</v>
      </c>
      <c r="G397">
        <v>833</v>
      </c>
      <c r="H397">
        <v>64</v>
      </c>
      <c r="I397">
        <v>36</v>
      </c>
      <c r="J397">
        <v>4</v>
      </c>
    </row>
    <row r="398" spans="1:10">
      <c r="A398" t="s">
        <v>33</v>
      </c>
      <c r="B398">
        <v>37</v>
      </c>
      <c r="C398" t="s">
        <v>470</v>
      </c>
      <c r="D398">
        <v>111</v>
      </c>
      <c r="E398">
        <v>666</v>
      </c>
      <c r="F398">
        <v>100943</v>
      </c>
      <c r="G398">
        <v>836</v>
      </c>
      <c r="H398">
        <v>66</v>
      </c>
      <c r="I398">
        <v>37</v>
      </c>
      <c r="J398">
        <v>4</v>
      </c>
    </row>
    <row r="399" spans="1:10">
      <c r="A399" t="s">
        <v>33</v>
      </c>
      <c r="B399">
        <v>38</v>
      </c>
      <c r="C399" t="s">
        <v>471</v>
      </c>
      <c r="D399">
        <v>114</v>
      </c>
      <c r="E399">
        <v>684</v>
      </c>
      <c r="F399">
        <v>104543</v>
      </c>
      <c r="G399">
        <v>879</v>
      </c>
      <c r="H399">
        <v>68</v>
      </c>
      <c r="I399">
        <v>38</v>
      </c>
      <c r="J399">
        <v>5</v>
      </c>
    </row>
    <row r="400" spans="1:10">
      <c r="A400" t="s">
        <v>33</v>
      </c>
      <c r="B400">
        <v>39</v>
      </c>
      <c r="C400" t="s">
        <v>472</v>
      </c>
      <c r="D400">
        <v>117</v>
      </c>
      <c r="E400">
        <v>702</v>
      </c>
      <c r="F400">
        <v>107268</v>
      </c>
      <c r="G400">
        <v>912</v>
      </c>
      <c r="H400">
        <v>69</v>
      </c>
      <c r="I400">
        <v>39</v>
      </c>
      <c r="J400">
        <v>5</v>
      </c>
    </row>
    <row r="401" spans="1:10">
      <c r="A401" t="s">
        <v>33</v>
      </c>
      <c r="B401">
        <v>40</v>
      </c>
      <c r="C401" t="s">
        <v>473</v>
      </c>
      <c r="D401">
        <v>120</v>
      </c>
      <c r="E401">
        <v>720</v>
      </c>
      <c r="F401">
        <v>110577</v>
      </c>
      <c r="G401">
        <v>920</v>
      </c>
      <c r="H401">
        <v>71</v>
      </c>
      <c r="I401">
        <v>40</v>
      </c>
      <c r="J401">
        <v>5</v>
      </c>
    </row>
    <row r="402" spans="1:10">
      <c r="A402" t="s">
        <v>33</v>
      </c>
      <c r="B402">
        <v>41</v>
      </c>
      <c r="C402" t="s">
        <v>474</v>
      </c>
      <c r="D402">
        <v>123</v>
      </c>
      <c r="E402">
        <v>738</v>
      </c>
      <c r="F402">
        <v>112727</v>
      </c>
      <c r="G402">
        <v>926</v>
      </c>
      <c r="H402">
        <v>74</v>
      </c>
      <c r="I402">
        <v>41</v>
      </c>
      <c r="J402">
        <v>5</v>
      </c>
    </row>
    <row r="403" spans="1:10">
      <c r="A403" t="s">
        <v>33</v>
      </c>
      <c r="B403">
        <v>42</v>
      </c>
      <c r="C403" t="s">
        <v>475</v>
      </c>
      <c r="D403">
        <v>126</v>
      </c>
      <c r="E403">
        <v>756</v>
      </c>
      <c r="F403">
        <v>114796</v>
      </c>
      <c r="G403">
        <v>956</v>
      </c>
      <c r="H403">
        <v>75</v>
      </c>
      <c r="I403">
        <v>42</v>
      </c>
      <c r="J403">
        <v>5</v>
      </c>
    </row>
    <row r="404" spans="1:10">
      <c r="A404" t="s">
        <v>33</v>
      </c>
      <c r="B404">
        <v>43</v>
      </c>
      <c r="C404" t="s">
        <v>476</v>
      </c>
      <c r="D404">
        <v>129</v>
      </c>
      <c r="E404">
        <v>774</v>
      </c>
      <c r="F404">
        <v>117025</v>
      </c>
      <c r="G404">
        <v>969</v>
      </c>
      <c r="H404">
        <v>76</v>
      </c>
      <c r="I404">
        <v>43</v>
      </c>
      <c r="J404">
        <v>5</v>
      </c>
    </row>
    <row r="405" spans="1:10">
      <c r="A405" t="s">
        <v>33</v>
      </c>
      <c r="B405">
        <v>44</v>
      </c>
      <c r="C405" t="s">
        <v>477</v>
      </c>
      <c r="D405">
        <v>132</v>
      </c>
      <c r="E405">
        <v>792</v>
      </c>
      <c r="F405">
        <v>120850</v>
      </c>
      <c r="G405">
        <v>979</v>
      </c>
      <c r="H405">
        <v>78</v>
      </c>
      <c r="I405">
        <v>44</v>
      </c>
      <c r="J405">
        <v>5</v>
      </c>
    </row>
    <row r="406" spans="1:10">
      <c r="A406" t="s">
        <v>33</v>
      </c>
      <c r="B406">
        <v>45</v>
      </c>
      <c r="C406" t="s">
        <v>478</v>
      </c>
      <c r="D406">
        <v>135</v>
      </c>
      <c r="E406">
        <v>810</v>
      </c>
      <c r="F406">
        <v>124425</v>
      </c>
      <c r="G406">
        <v>1007</v>
      </c>
      <c r="H406">
        <v>80</v>
      </c>
      <c r="I406">
        <v>45</v>
      </c>
      <c r="J406">
        <v>5</v>
      </c>
    </row>
    <row r="407" spans="1:10">
      <c r="A407" t="s">
        <v>33</v>
      </c>
      <c r="B407">
        <v>46</v>
      </c>
      <c r="C407" t="s">
        <v>479</v>
      </c>
      <c r="D407">
        <v>138</v>
      </c>
      <c r="E407">
        <v>828</v>
      </c>
      <c r="F407">
        <v>127040</v>
      </c>
      <c r="G407">
        <v>1025</v>
      </c>
      <c r="H407">
        <v>80</v>
      </c>
      <c r="I407">
        <v>46</v>
      </c>
      <c r="J407">
        <v>6</v>
      </c>
    </row>
    <row r="408" spans="1:10">
      <c r="A408" t="s">
        <v>33</v>
      </c>
      <c r="B408">
        <v>47</v>
      </c>
      <c r="C408" t="s">
        <v>480</v>
      </c>
      <c r="D408">
        <v>141</v>
      </c>
      <c r="E408">
        <v>846</v>
      </c>
      <c r="F408">
        <v>129444</v>
      </c>
      <c r="G408">
        <v>1025</v>
      </c>
      <c r="H408">
        <v>83</v>
      </c>
      <c r="I408">
        <v>47</v>
      </c>
      <c r="J408">
        <v>6</v>
      </c>
    </row>
    <row r="409" spans="1:10">
      <c r="A409" t="s">
        <v>33</v>
      </c>
      <c r="B409">
        <v>48</v>
      </c>
      <c r="C409" t="s">
        <v>481</v>
      </c>
      <c r="D409">
        <v>144</v>
      </c>
      <c r="E409">
        <v>864</v>
      </c>
      <c r="F409">
        <v>131163</v>
      </c>
      <c r="G409">
        <v>1033</v>
      </c>
      <c r="H409">
        <v>84</v>
      </c>
      <c r="I409">
        <v>48</v>
      </c>
      <c r="J409">
        <v>6</v>
      </c>
    </row>
    <row r="410" spans="1:10">
      <c r="A410" t="s">
        <v>33</v>
      </c>
      <c r="B410">
        <v>49</v>
      </c>
      <c r="C410" t="s">
        <v>482</v>
      </c>
      <c r="D410">
        <v>147</v>
      </c>
      <c r="E410">
        <v>882</v>
      </c>
      <c r="F410">
        <v>133294</v>
      </c>
      <c r="G410">
        <v>1063</v>
      </c>
      <c r="H410">
        <v>84</v>
      </c>
      <c r="I410">
        <v>49</v>
      </c>
      <c r="J410">
        <v>6</v>
      </c>
    </row>
    <row r="411" spans="1:10">
      <c r="A411" t="s">
        <v>33</v>
      </c>
      <c r="B411">
        <v>50</v>
      </c>
      <c r="C411" t="s">
        <v>483</v>
      </c>
      <c r="D411">
        <v>150</v>
      </c>
      <c r="E411">
        <v>900</v>
      </c>
      <c r="F411">
        <v>135886</v>
      </c>
      <c r="G411">
        <v>1076</v>
      </c>
      <c r="H411">
        <v>85</v>
      </c>
      <c r="I411">
        <v>50</v>
      </c>
      <c r="J411">
        <v>6</v>
      </c>
    </row>
    <row r="412" spans="1:10">
      <c r="A412" t="s">
        <v>33</v>
      </c>
      <c r="B412">
        <v>51</v>
      </c>
      <c r="C412" t="s">
        <v>484</v>
      </c>
      <c r="D412">
        <v>153</v>
      </c>
      <c r="E412">
        <v>918</v>
      </c>
      <c r="F412">
        <v>137833</v>
      </c>
      <c r="G412">
        <v>1089</v>
      </c>
      <c r="H412">
        <v>86</v>
      </c>
      <c r="I412">
        <v>51</v>
      </c>
      <c r="J412">
        <v>6</v>
      </c>
    </row>
    <row r="413" spans="1:10">
      <c r="A413" t="s">
        <v>33</v>
      </c>
      <c r="B413">
        <v>52</v>
      </c>
      <c r="C413" t="s">
        <v>485</v>
      </c>
      <c r="D413">
        <v>156</v>
      </c>
      <c r="E413">
        <v>936</v>
      </c>
      <c r="F413">
        <v>140737</v>
      </c>
      <c r="G413">
        <v>1107</v>
      </c>
      <c r="H413">
        <v>88</v>
      </c>
      <c r="I413">
        <v>52</v>
      </c>
      <c r="J413">
        <v>6</v>
      </c>
    </row>
    <row r="414" spans="1:10">
      <c r="A414" t="s">
        <v>33</v>
      </c>
      <c r="B414">
        <v>53</v>
      </c>
      <c r="C414" t="s">
        <v>486</v>
      </c>
      <c r="D414">
        <v>159</v>
      </c>
      <c r="E414">
        <v>954</v>
      </c>
      <c r="F414">
        <v>143216</v>
      </c>
      <c r="G414">
        <v>1120</v>
      </c>
      <c r="H414">
        <v>90</v>
      </c>
      <c r="I414">
        <v>53</v>
      </c>
      <c r="J414">
        <v>6</v>
      </c>
    </row>
    <row r="415" spans="1:10">
      <c r="A415" t="s">
        <v>33</v>
      </c>
      <c r="B415">
        <v>54</v>
      </c>
      <c r="C415" t="s">
        <v>487</v>
      </c>
      <c r="D415">
        <v>162</v>
      </c>
      <c r="E415">
        <v>972</v>
      </c>
      <c r="F415">
        <v>145919</v>
      </c>
      <c r="G415">
        <v>1138</v>
      </c>
      <c r="H415">
        <v>92</v>
      </c>
      <c r="I415">
        <v>54</v>
      </c>
      <c r="J415">
        <v>7</v>
      </c>
    </row>
    <row r="416" spans="1:10">
      <c r="A416" t="s">
        <v>33</v>
      </c>
      <c r="B416">
        <v>55</v>
      </c>
      <c r="C416" t="s">
        <v>488</v>
      </c>
      <c r="D416">
        <v>165</v>
      </c>
      <c r="E416">
        <v>990</v>
      </c>
      <c r="F416">
        <v>147970</v>
      </c>
      <c r="G416">
        <v>1141</v>
      </c>
      <c r="H416">
        <v>94</v>
      </c>
      <c r="I416">
        <v>55</v>
      </c>
      <c r="J416">
        <v>7</v>
      </c>
    </row>
    <row r="417" spans="1:10">
      <c r="A417" t="s">
        <v>33</v>
      </c>
      <c r="B417">
        <v>56</v>
      </c>
      <c r="C417" t="s">
        <v>489</v>
      </c>
      <c r="D417">
        <v>168</v>
      </c>
      <c r="E417">
        <v>1008</v>
      </c>
      <c r="F417">
        <v>150295</v>
      </c>
      <c r="G417">
        <v>1173</v>
      </c>
      <c r="H417">
        <v>95</v>
      </c>
      <c r="I417">
        <v>56</v>
      </c>
      <c r="J417">
        <v>7</v>
      </c>
    </row>
    <row r="418" spans="1:10">
      <c r="A418" t="s">
        <v>33</v>
      </c>
      <c r="B418">
        <v>57</v>
      </c>
      <c r="C418" t="s">
        <v>490</v>
      </c>
      <c r="D418">
        <v>171</v>
      </c>
      <c r="E418">
        <v>1026</v>
      </c>
      <c r="F418">
        <v>152594</v>
      </c>
      <c r="G418">
        <v>1176</v>
      </c>
      <c r="H418">
        <v>97</v>
      </c>
      <c r="I418">
        <v>57</v>
      </c>
      <c r="J418">
        <v>7</v>
      </c>
    </row>
    <row r="419" spans="1:10">
      <c r="A419" t="s">
        <v>33</v>
      </c>
      <c r="B419">
        <v>58</v>
      </c>
      <c r="C419" t="s">
        <v>491</v>
      </c>
      <c r="D419">
        <v>174</v>
      </c>
      <c r="E419">
        <v>1044</v>
      </c>
      <c r="F419">
        <v>157113</v>
      </c>
      <c r="G419">
        <v>1189</v>
      </c>
      <c r="H419">
        <v>100</v>
      </c>
      <c r="I419">
        <v>58</v>
      </c>
      <c r="J419">
        <v>7</v>
      </c>
    </row>
    <row r="420" spans="1:10">
      <c r="A420" t="s">
        <v>33</v>
      </c>
      <c r="B420">
        <v>59</v>
      </c>
      <c r="C420" t="s">
        <v>492</v>
      </c>
      <c r="D420">
        <v>177</v>
      </c>
      <c r="E420">
        <v>1062</v>
      </c>
      <c r="F420">
        <v>159706</v>
      </c>
      <c r="G420">
        <v>1207</v>
      </c>
      <c r="H420">
        <v>102</v>
      </c>
      <c r="I420">
        <v>59</v>
      </c>
      <c r="J420">
        <v>7</v>
      </c>
    </row>
    <row r="421" spans="1:10">
      <c r="A421" t="s">
        <v>33</v>
      </c>
      <c r="B421">
        <v>60</v>
      </c>
      <c r="C421" t="s">
        <v>493</v>
      </c>
      <c r="D421">
        <v>180</v>
      </c>
      <c r="E421">
        <v>1080</v>
      </c>
      <c r="F421">
        <v>162765</v>
      </c>
      <c r="G421">
        <v>1230</v>
      </c>
      <c r="H421">
        <v>103</v>
      </c>
      <c r="I421">
        <v>60</v>
      </c>
      <c r="J421">
        <v>7</v>
      </c>
    </row>
    <row r="422" spans="1:10">
      <c r="A422" t="s">
        <v>33</v>
      </c>
      <c r="B422">
        <v>61</v>
      </c>
      <c r="C422" t="s">
        <v>494</v>
      </c>
      <c r="D422">
        <v>183</v>
      </c>
      <c r="E422">
        <v>1098</v>
      </c>
      <c r="F422">
        <v>165862</v>
      </c>
      <c r="G422">
        <v>1251</v>
      </c>
      <c r="H422">
        <v>107</v>
      </c>
      <c r="I422">
        <v>61</v>
      </c>
      <c r="J422">
        <v>8</v>
      </c>
    </row>
    <row r="423" spans="1:10">
      <c r="A423" t="s">
        <v>33</v>
      </c>
      <c r="B423">
        <v>62</v>
      </c>
      <c r="C423" t="s">
        <v>495</v>
      </c>
      <c r="D423">
        <v>186</v>
      </c>
      <c r="E423">
        <v>1116</v>
      </c>
      <c r="F423">
        <v>167657</v>
      </c>
      <c r="G423">
        <v>1254</v>
      </c>
      <c r="H423">
        <v>109</v>
      </c>
      <c r="I423">
        <v>62</v>
      </c>
      <c r="J423">
        <v>8</v>
      </c>
    </row>
    <row r="424" spans="1:10">
      <c r="A424" t="s">
        <v>33</v>
      </c>
      <c r="B424">
        <v>63</v>
      </c>
      <c r="C424" t="s">
        <v>496</v>
      </c>
      <c r="D424">
        <v>189</v>
      </c>
      <c r="E424">
        <v>1134</v>
      </c>
      <c r="F424">
        <v>169559</v>
      </c>
      <c r="G424">
        <v>1282</v>
      </c>
      <c r="H424">
        <v>110</v>
      </c>
      <c r="I424">
        <v>63</v>
      </c>
      <c r="J424">
        <v>8</v>
      </c>
    </row>
    <row r="425" spans="1:10">
      <c r="A425" t="s">
        <v>33</v>
      </c>
      <c r="B425">
        <v>64</v>
      </c>
      <c r="C425" t="s">
        <v>497</v>
      </c>
      <c r="D425">
        <v>192</v>
      </c>
      <c r="E425">
        <v>1152</v>
      </c>
      <c r="F425">
        <v>171543</v>
      </c>
      <c r="G425">
        <v>1290</v>
      </c>
      <c r="H425">
        <v>112</v>
      </c>
      <c r="I425">
        <v>64</v>
      </c>
      <c r="J425">
        <v>8</v>
      </c>
    </row>
    <row r="426" spans="1:10">
      <c r="A426" t="s">
        <v>33</v>
      </c>
      <c r="B426">
        <v>65</v>
      </c>
      <c r="C426" t="s">
        <v>498</v>
      </c>
      <c r="D426">
        <v>195</v>
      </c>
      <c r="E426">
        <v>1170</v>
      </c>
      <c r="F426">
        <v>173855</v>
      </c>
      <c r="G426">
        <v>1295</v>
      </c>
      <c r="H426">
        <v>114</v>
      </c>
      <c r="I426">
        <v>65</v>
      </c>
      <c r="J426">
        <v>8</v>
      </c>
    </row>
    <row r="427" spans="1:10">
      <c r="A427" t="s">
        <v>33</v>
      </c>
      <c r="B427">
        <v>66</v>
      </c>
      <c r="C427" t="s">
        <v>499</v>
      </c>
      <c r="D427">
        <v>198</v>
      </c>
      <c r="E427">
        <v>1188</v>
      </c>
      <c r="F427">
        <v>177568</v>
      </c>
      <c r="G427">
        <v>1333</v>
      </c>
      <c r="H427">
        <v>117</v>
      </c>
      <c r="I427">
        <v>66</v>
      </c>
      <c r="J427">
        <v>8</v>
      </c>
    </row>
    <row r="428" spans="1:10">
      <c r="A428" t="s">
        <v>33</v>
      </c>
      <c r="B428">
        <v>67</v>
      </c>
      <c r="C428" t="s">
        <v>500</v>
      </c>
      <c r="D428">
        <v>201</v>
      </c>
      <c r="E428">
        <v>1206</v>
      </c>
      <c r="F428">
        <v>183001</v>
      </c>
      <c r="G428">
        <v>1336</v>
      </c>
      <c r="H428">
        <v>118</v>
      </c>
      <c r="I428">
        <v>67</v>
      </c>
      <c r="J428">
        <v>8</v>
      </c>
    </row>
    <row r="429" spans="1:10">
      <c r="A429" t="s">
        <v>33</v>
      </c>
      <c r="B429">
        <v>68</v>
      </c>
      <c r="C429" t="s">
        <v>501</v>
      </c>
      <c r="D429">
        <v>204</v>
      </c>
      <c r="E429">
        <v>1224</v>
      </c>
      <c r="F429">
        <v>186205</v>
      </c>
      <c r="G429">
        <v>1349</v>
      </c>
      <c r="H429">
        <v>119</v>
      </c>
      <c r="I429">
        <v>68</v>
      </c>
      <c r="J429">
        <v>8</v>
      </c>
    </row>
    <row r="430" spans="1:10">
      <c r="A430" t="s">
        <v>33</v>
      </c>
      <c r="B430">
        <v>69</v>
      </c>
      <c r="C430" t="s">
        <v>502</v>
      </c>
      <c r="D430">
        <v>207</v>
      </c>
      <c r="E430">
        <v>1242</v>
      </c>
      <c r="F430">
        <v>189379</v>
      </c>
      <c r="G430">
        <v>1367</v>
      </c>
      <c r="H430">
        <v>122</v>
      </c>
      <c r="I430">
        <v>69</v>
      </c>
      <c r="J430">
        <v>9</v>
      </c>
    </row>
    <row r="431" spans="1:10">
      <c r="A431" t="s">
        <v>33</v>
      </c>
      <c r="B431">
        <v>70</v>
      </c>
      <c r="C431" t="s">
        <v>503</v>
      </c>
      <c r="D431">
        <v>210</v>
      </c>
      <c r="E431">
        <v>1260</v>
      </c>
      <c r="F431">
        <v>191740</v>
      </c>
      <c r="G431">
        <v>1398</v>
      </c>
      <c r="H431">
        <v>125</v>
      </c>
      <c r="I431">
        <v>70</v>
      </c>
      <c r="J431">
        <v>9</v>
      </c>
    </row>
    <row r="432" spans="1:10">
      <c r="A432" t="s">
        <v>33</v>
      </c>
      <c r="B432">
        <v>71</v>
      </c>
      <c r="C432" t="s">
        <v>504</v>
      </c>
      <c r="D432">
        <v>213</v>
      </c>
      <c r="E432">
        <v>1278</v>
      </c>
      <c r="F432">
        <v>193662</v>
      </c>
      <c r="G432">
        <v>1403</v>
      </c>
      <c r="H432">
        <v>126</v>
      </c>
      <c r="I432">
        <v>71</v>
      </c>
      <c r="J432">
        <v>9</v>
      </c>
    </row>
    <row r="433" spans="1:10">
      <c r="A433" t="s">
        <v>33</v>
      </c>
      <c r="B433">
        <v>72</v>
      </c>
      <c r="C433" t="s">
        <v>505</v>
      </c>
      <c r="D433">
        <v>216</v>
      </c>
      <c r="E433">
        <v>1296</v>
      </c>
      <c r="F433">
        <v>196164</v>
      </c>
      <c r="G433">
        <v>1413</v>
      </c>
      <c r="H433">
        <v>127</v>
      </c>
      <c r="I433">
        <v>72</v>
      </c>
      <c r="J433">
        <v>9</v>
      </c>
    </row>
    <row r="434" spans="1:10">
      <c r="A434" t="s">
        <v>33</v>
      </c>
      <c r="B434">
        <v>73</v>
      </c>
      <c r="C434" t="s">
        <v>506</v>
      </c>
      <c r="D434">
        <v>219</v>
      </c>
      <c r="E434">
        <v>1314</v>
      </c>
      <c r="F434">
        <v>199480</v>
      </c>
      <c r="G434">
        <v>1451</v>
      </c>
      <c r="H434">
        <v>128</v>
      </c>
      <c r="I434">
        <v>73</v>
      </c>
      <c r="J434">
        <v>9</v>
      </c>
    </row>
    <row r="435" spans="1:10">
      <c r="A435" t="s">
        <v>33</v>
      </c>
      <c r="B435">
        <v>74</v>
      </c>
      <c r="C435" t="s">
        <v>507</v>
      </c>
      <c r="D435">
        <v>222</v>
      </c>
      <c r="E435">
        <v>1332</v>
      </c>
      <c r="F435">
        <v>201901</v>
      </c>
      <c r="G435">
        <v>1459</v>
      </c>
      <c r="H435">
        <v>131</v>
      </c>
      <c r="I435">
        <v>74</v>
      </c>
      <c r="J435">
        <v>9</v>
      </c>
    </row>
    <row r="436" spans="1:10">
      <c r="A436" t="s">
        <v>33</v>
      </c>
      <c r="B436">
        <v>75</v>
      </c>
      <c r="C436" t="s">
        <v>508</v>
      </c>
      <c r="D436">
        <v>225</v>
      </c>
      <c r="E436">
        <v>1350</v>
      </c>
      <c r="F436">
        <v>205119</v>
      </c>
      <c r="G436">
        <v>1462</v>
      </c>
      <c r="H436">
        <v>133</v>
      </c>
      <c r="I436">
        <v>75</v>
      </c>
      <c r="J436">
        <v>9</v>
      </c>
    </row>
    <row r="437" spans="1:10">
      <c r="A437" t="s">
        <v>33</v>
      </c>
      <c r="B437">
        <v>76</v>
      </c>
      <c r="C437" t="s">
        <v>509</v>
      </c>
      <c r="D437">
        <v>228</v>
      </c>
      <c r="E437">
        <v>1368</v>
      </c>
      <c r="F437">
        <v>210073</v>
      </c>
      <c r="G437">
        <v>1480</v>
      </c>
      <c r="H437">
        <v>135</v>
      </c>
      <c r="I437">
        <v>76</v>
      </c>
      <c r="J437">
        <v>10</v>
      </c>
    </row>
    <row r="438" spans="1:10">
      <c r="A438" t="s">
        <v>33</v>
      </c>
      <c r="B438">
        <v>77</v>
      </c>
      <c r="C438" t="s">
        <v>510</v>
      </c>
      <c r="D438">
        <v>231</v>
      </c>
      <c r="E438">
        <v>1386</v>
      </c>
      <c r="F438">
        <v>214523</v>
      </c>
      <c r="G438">
        <v>1511</v>
      </c>
      <c r="H438">
        <v>138</v>
      </c>
      <c r="I438">
        <v>77</v>
      </c>
      <c r="J438">
        <v>10</v>
      </c>
    </row>
    <row r="439" spans="1:10">
      <c r="A439" t="s">
        <v>33</v>
      </c>
      <c r="B439">
        <v>78</v>
      </c>
      <c r="C439" t="s">
        <v>511</v>
      </c>
      <c r="D439">
        <v>234</v>
      </c>
      <c r="E439">
        <v>1404</v>
      </c>
      <c r="F439">
        <v>216134</v>
      </c>
      <c r="G439">
        <v>1516</v>
      </c>
      <c r="H439">
        <v>139</v>
      </c>
      <c r="I439">
        <v>78</v>
      </c>
      <c r="J439">
        <v>10</v>
      </c>
    </row>
    <row r="440" spans="1:10">
      <c r="A440" t="s">
        <v>33</v>
      </c>
      <c r="B440">
        <v>79</v>
      </c>
      <c r="C440" t="s">
        <v>512</v>
      </c>
      <c r="D440">
        <v>237</v>
      </c>
      <c r="E440">
        <v>1422</v>
      </c>
      <c r="F440">
        <v>217936</v>
      </c>
      <c r="G440">
        <v>1519</v>
      </c>
      <c r="H440">
        <v>140</v>
      </c>
      <c r="I440">
        <v>79</v>
      </c>
      <c r="J440">
        <v>10</v>
      </c>
    </row>
    <row r="441" spans="1:10">
      <c r="A441" t="s">
        <v>33</v>
      </c>
      <c r="B441">
        <v>80</v>
      </c>
      <c r="C441" t="s">
        <v>513</v>
      </c>
      <c r="D441">
        <v>240</v>
      </c>
      <c r="E441">
        <v>1440</v>
      </c>
      <c r="F441">
        <v>220123</v>
      </c>
      <c r="G441">
        <v>1524</v>
      </c>
      <c r="H441">
        <v>141</v>
      </c>
      <c r="I441">
        <v>80</v>
      </c>
      <c r="J441">
        <v>10</v>
      </c>
    </row>
    <row r="442" spans="1:10">
      <c r="A442" t="s">
        <v>33</v>
      </c>
      <c r="B442">
        <v>81</v>
      </c>
      <c r="C442" t="s">
        <v>514</v>
      </c>
      <c r="D442">
        <v>243</v>
      </c>
      <c r="E442">
        <v>1458</v>
      </c>
      <c r="F442">
        <v>222930</v>
      </c>
      <c r="G442">
        <v>1544</v>
      </c>
      <c r="H442">
        <v>143</v>
      </c>
      <c r="I442">
        <v>81</v>
      </c>
      <c r="J442">
        <v>10</v>
      </c>
    </row>
    <row r="443" spans="1:10">
      <c r="A443" t="s">
        <v>33</v>
      </c>
      <c r="B443">
        <v>82</v>
      </c>
      <c r="C443" t="s">
        <v>515</v>
      </c>
      <c r="D443">
        <v>246</v>
      </c>
      <c r="E443">
        <v>1476</v>
      </c>
      <c r="F443">
        <v>225183</v>
      </c>
      <c r="G443">
        <v>1567</v>
      </c>
      <c r="H443">
        <v>145</v>
      </c>
      <c r="I443">
        <v>82</v>
      </c>
      <c r="J443">
        <v>10</v>
      </c>
    </row>
    <row r="444" spans="1:10">
      <c r="A444" t="s">
        <v>33</v>
      </c>
      <c r="B444">
        <v>83</v>
      </c>
      <c r="C444" t="s">
        <v>516</v>
      </c>
      <c r="D444">
        <v>249</v>
      </c>
      <c r="E444">
        <v>1494</v>
      </c>
      <c r="F444">
        <v>228431</v>
      </c>
      <c r="G444">
        <v>1575</v>
      </c>
      <c r="H444">
        <v>148</v>
      </c>
      <c r="I444">
        <v>83</v>
      </c>
      <c r="J444">
        <v>10</v>
      </c>
    </row>
    <row r="445" spans="1:10">
      <c r="A445" t="s">
        <v>33</v>
      </c>
      <c r="B445">
        <v>84</v>
      </c>
      <c r="C445" t="s">
        <v>517</v>
      </c>
      <c r="D445">
        <v>252</v>
      </c>
      <c r="E445">
        <v>1512</v>
      </c>
      <c r="F445">
        <v>231286</v>
      </c>
      <c r="G445">
        <v>1618</v>
      </c>
      <c r="H445">
        <v>149</v>
      </c>
      <c r="I445">
        <v>84</v>
      </c>
      <c r="J445">
        <v>11</v>
      </c>
    </row>
    <row r="446" spans="1:10">
      <c r="A446" t="s">
        <v>33</v>
      </c>
      <c r="B446">
        <v>85</v>
      </c>
      <c r="C446" t="s">
        <v>518</v>
      </c>
      <c r="D446">
        <v>255</v>
      </c>
      <c r="E446">
        <v>1530</v>
      </c>
      <c r="F446">
        <v>233363</v>
      </c>
      <c r="G446">
        <v>1621</v>
      </c>
      <c r="H446">
        <v>151</v>
      </c>
      <c r="I446">
        <v>85</v>
      </c>
      <c r="J446">
        <v>11</v>
      </c>
    </row>
    <row r="447" spans="1:10">
      <c r="A447" t="s">
        <v>33</v>
      </c>
      <c r="B447">
        <v>86</v>
      </c>
      <c r="C447" t="s">
        <v>519</v>
      </c>
      <c r="D447">
        <v>258</v>
      </c>
      <c r="E447">
        <v>1548</v>
      </c>
      <c r="F447">
        <v>235492</v>
      </c>
      <c r="G447">
        <v>1626</v>
      </c>
      <c r="H447">
        <v>153</v>
      </c>
      <c r="I447">
        <v>86</v>
      </c>
      <c r="J447">
        <v>11</v>
      </c>
    </row>
    <row r="448" spans="1:10">
      <c r="A448" t="s">
        <v>33</v>
      </c>
      <c r="B448">
        <v>87</v>
      </c>
      <c r="C448" t="s">
        <v>520</v>
      </c>
      <c r="D448">
        <v>261</v>
      </c>
      <c r="E448">
        <v>1566</v>
      </c>
      <c r="F448">
        <v>238224</v>
      </c>
      <c r="G448">
        <v>1651</v>
      </c>
      <c r="H448">
        <v>155</v>
      </c>
      <c r="I448">
        <v>87</v>
      </c>
      <c r="J448">
        <v>11</v>
      </c>
    </row>
    <row r="449" spans="1:10">
      <c r="A449" t="s">
        <v>33</v>
      </c>
      <c r="B449">
        <v>88</v>
      </c>
      <c r="C449" t="s">
        <v>521</v>
      </c>
      <c r="D449">
        <v>264</v>
      </c>
      <c r="E449">
        <v>1584</v>
      </c>
      <c r="F449">
        <v>241137</v>
      </c>
      <c r="G449">
        <v>1671</v>
      </c>
      <c r="H449">
        <v>156</v>
      </c>
      <c r="I449">
        <v>88</v>
      </c>
      <c r="J449">
        <v>11</v>
      </c>
    </row>
    <row r="450" spans="1:10">
      <c r="A450" t="s">
        <v>33</v>
      </c>
      <c r="B450">
        <v>89</v>
      </c>
      <c r="C450" t="s">
        <v>522</v>
      </c>
      <c r="D450">
        <v>267</v>
      </c>
      <c r="E450">
        <v>1602</v>
      </c>
      <c r="F450">
        <v>242841</v>
      </c>
      <c r="G450">
        <v>1674</v>
      </c>
      <c r="H450">
        <v>159</v>
      </c>
      <c r="I450">
        <v>89</v>
      </c>
      <c r="J450">
        <v>11</v>
      </c>
    </row>
    <row r="451" spans="1:10">
      <c r="A451" t="s">
        <v>33</v>
      </c>
      <c r="B451">
        <v>90</v>
      </c>
      <c r="C451" t="s">
        <v>523</v>
      </c>
      <c r="D451">
        <v>270</v>
      </c>
      <c r="E451">
        <v>1620</v>
      </c>
      <c r="F451">
        <v>245688</v>
      </c>
      <c r="G451">
        <v>1677</v>
      </c>
      <c r="H451">
        <v>161</v>
      </c>
      <c r="I451">
        <v>90</v>
      </c>
      <c r="J451">
        <v>11</v>
      </c>
    </row>
  </sheetData>
  <autoFilter ref="A1:J451"/>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8.7109375" customWidth="1"/>
    <col min="2" max="2" width="112.7109375" customWidth="1"/>
  </cols>
  <sheetData>
    <row r="1" spans="1:2" ht="32" customHeight="1">
      <c r="A1" s="5" t="s">
        <v>83</v>
      </c>
      <c r="B1" s="5" t="s">
        <v>524</v>
      </c>
    </row>
    <row r="2" spans="1:2" ht="43" customHeight="1">
      <c r="A2" s="2" t="s">
        <v>525</v>
      </c>
      <c r="B2" s="2" t="s">
        <v>526</v>
      </c>
    </row>
    <row r="3" spans="1:2" ht="43" customHeight="1">
      <c r="A3" s="2" t="s">
        <v>527</v>
      </c>
      <c r="B3" s="2" t="s">
        <v>528</v>
      </c>
    </row>
    <row r="4" spans="1:2" ht="43" customHeight="1">
      <c r="A4" s="2" t="s">
        <v>529</v>
      </c>
      <c r="B4" s="2" t="s">
        <v>530</v>
      </c>
    </row>
    <row r="5" spans="1:2" ht="43" customHeight="1">
      <c r="A5" s="2" t="s">
        <v>531</v>
      </c>
      <c r="B5" s="2" t="s">
        <v>532</v>
      </c>
    </row>
    <row r="6" spans="1:2" ht="43" customHeight="1">
      <c r="A6" s="2" t="s">
        <v>533</v>
      </c>
      <c r="B6" s="2" t="s">
        <v>534</v>
      </c>
    </row>
    <row r="7" spans="1:2" ht="43" customHeight="1">
      <c r="A7" s="2" t="s">
        <v>535</v>
      </c>
      <c r="B7" s="2" t="s">
        <v>536</v>
      </c>
    </row>
    <row r="8" spans="1:2" ht="43" customHeight="1">
      <c r="A8" s="2" t="s">
        <v>537</v>
      </c>
      <c r="B8" s="2" t="s">
        <v>538</v>
      </c>
    </row>
    <row r="9" spans="1:2" ht="43" customHeight="1">
      <c r="A9" s="2" t="s">
        <v>539</v>
      </c>
      <c r="B9" s="2" t="s">
        <v>540</v>
      </c>
    </row>
    <row r="11" spans="1:2">
      <c r="A11" t="s">
        <v>541</v>
      </c>
      <c r="B11" t="s">
        <v>542</v>
      </c>
    </row>
    <row r="12" spans="1:2">
      <c r="A12" t="s">
        <v>543</v>
      </c>
      <c r="B12" t="s">
        <v>544</v>
      </c>
    </row>
    <row r="13" spans="1:2">
      <c r="A13" t="s">
        <v>545</v>
      </c>
      <c r="B13" t="s">
        <v>546</v>
      </c>
    </row>
    <row r="14" spans="1:2">
      <c r="A14" t="s">
        <v>547</v>
      </c>
      <c r="B14" t="s">
        <v>548</v>
      </c>
    </row>
    <row r="15" spans="1:2">
      <c r="A15" t="s">
        <v>549</v>
      </c>
      <c r="B15" t="s">
        <v>550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2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3.7109375" customWidth="1"/>
    <col min="2" max="2" width="8.7109375" customWidth="1"/>
    <col min="3" max="4" width="15.7109375" customWidth="1"/>
    <col min="5" max="8" width="14.7109375" customWidth="1"/>
    <col min="9" max="9" width="30.7109375" customWidth="1"/>
    <col min="10" max="10" width="14.7109375" customWidth="1"/>
    <col min="11" max="11" width="22.7109375" customWidth="1"/>
    <col min="12" max="12" width="18.7109375" customWidth="1"/>
  </cols>
  <sheetData>
    <row r="1" spans="1:12" ht="32" customHeight="1">
      <c r="A1" s="5" t="s">
        <v>20</v>
      </c>
      <c r="B1" s="5" t="s">
        <v>21</v>
      </c>
      <c r="C1" s="5" t="s">
        <v>551</v>
      </c>
      <c r="D1" s="5" t="s">
        <v>552</v>
      </c>
      <c r="E1" s="5" t="s">
        <v>553</v>
      </c>
      <c r="F1" s="5" t="s">
        <v>554</v>
      </c>
      <c r="G1" s="5" t="s">
        <v>555</v>
      </c>
      <c r="H1" s="5" t="s">
        <v>556</v>
      </c>
      <c r="I1" s="5" t="s">
        <v>557</v>
      </c>
      <c r="J1" s="5" t="s">
        <v>558</v>
      </c>
      <c r="K1" s="5" t="s">
        <v>559</v>
      </c>
      <c r="L1" s="5" t="s">
        <v>560</v>
      </c>
    </row>
    <row r="2" spans="1:12">
      <c r="A2" t="s">
        <v>29</v>
      </c>
      <c r="B2">
        <v>1</v>
      </c>
      <c r="C2">
        <v>1242</v>
      </c>
      <c r="D2">
        <v>1362</v>
      </c>
      <c r="E2" s="10">
        <f>IF(C2&gt;0,D2/C2-1,0)</f>
        <v>0.09661835748792269</v>
      </c>
      <c r="F2">
        <v>79</v>
      </c>
      <c r="G2">
        <v>82</v>
      </c>
      <c r="H2" s="10">
        <f>IF(F2&gt;0,G2/F2-1,0)</f>
        <v>0.03797468354430378</v>
      </c>
      <c r="I2">
        <v>0</v>
      </c>
      <c r="J2">
        <v>0</v>
      </c>
      <c r="K2">
        <v>16</v>
      </c>
      <c r="L2">
        <v>1</v>
      </c>
    </row>
    <row r="3" spans="1:12">
      <c r="A3" t="s">
        <v>29</v>
      </c>
      <c r="B3">
        <v>7</v>
      </c>
      <c r="C3">
        <v>3315</v>
      </c>
      <c r="D3">
        <v>3741</v>
      </c>
      <c r="E3" s="10">
        <f>IF(C3&gt;0,D3/C3-1,0)</f>
        <v>0.12850678733031673</v>
      </c>
      <c r="F3">
        <v>96</v>
      </c>
      <c r="G3">
        <v>114</v>
      </c>
      <c r="H3" s="10">
        <f>IF(F3&gt;0,G3/F3-1,0)</f>
        <v>0.1875</v>
      </c>
      <c r="I3">
        <v>450</v>
      </c>
      <c r="J3">
        <v>1</v>
      </c>
      <c r="K3">
        <v>20</v>
      </c>
      <c r="L3">
        <v>1</v>
      </c>
    </row>
    <row r="4" spans="1:12">
      <c r="A4" t="s">
        <v>29</v>
      </c>
      <c r="B4">
        <v>30</v>
      </c>
      <c r="C4">
        <v>12520</v>
      </c>
      <c r="D4">
        <v>15004</v>
      </c>
      <c r="E4" s="10">
        <f>IF(C4&gt;0,D4/C4-1,0)</f>
        <v>0.19840255591054312</v>
      </c>
      <c r="F4">
        <v>192</v>
      </c>
      <c r="G4">
        <v>218</v>
      </c>
      <c r="H4" s="10">
        <f>IF(F4&gt;0,G4/F4-1,0)</f>
        <v>0.13541666666666674</v>
      </c>
      <c r="I4">
        <v>1900</v>
      </c>
      <c r="J4">
        <v>2</v>
      </c>
      <c r="K4">
        <v>24</v>
      </c>
      <c r="L4">
        <v>1</v>
      </c>
    </row>
    <row r="5" spans="1:12">
      <c r="A5" t="s">
        <v>29</v>
      </c>
      <c r="B5">
        <v>90</v>
      </c>
      <c r="C5">
        <v>38389</v>
      </c>
      <c r="D5">
        <v>48247</v>
      </c>
      <c r="E5" s="10">
        <f>IF(C5&gt;0,D5/C5-1,0)</f>
        <v>0.2567923102972205</v>
      </c>
      <c r="F5">
        <v>468</v>
      </c>
      <c r="G5">
        <v>527</v>
      </c>
      <c r="H5" s="10">
        <f>IF(F5&gt;0,G5/F5-1,0)</f>
        <v>0.12606837606837606</v>
      </c>
      <c r="I5">
        <v>1900</v>
      </c>
      <c r="J5">
        <v>2</v>
      </c>
      <c r="K5">
        <v>33</v>
      </c>
      <c r="L5">
        <v>1</v>
      </c>
    </row>
    <row r="6" spans="1:12">
      <c r="A6" t="s">
        <v>30</v>
      </c>
      <c r="B6">
        <v>1</v>
      </c>
      <c r="C6">
        <v>1289</v>
      </c>
      <c r="D6">
        <v>1409</v>
      </c>
      <c r="E6" s="10">
        <f>IF(C6&gt;0,D6/C6-1,0)</f>
        <v>0.09309542280837868</v>
      </c>
      <c r="F6">
        <v>79</v>
      </c>
      <c r="G6">
        <v>82</v>
      </c>
      <c r="H6" s="10">
        <f>IF(F6&gt;0,G6/F6-1,0)</f>
        <v>0.03797468354430378</v>
      </c>
      <c r="I6">
        <v>0</v>
      </c>
      <c r="J6">
        <v>0</v>
      </c>
      <c r="K6">
        <v>16</v>
      </c>
      <c r="L6">
        <v>1</v>
      </c>
    </row>
    <row r="7" spans="1:12">
      <c r="A7" t="s">
        <v>30</v>
      </c>
      <c r="B7">
        <v>7</v>
      </c>
      <c r="C7">
        <v>4679</v>
      </c>
      <c r="D7">
        <v>5385</v>
      </c>
      <c r="E7" s="10">
        <f>IF(C7&gt;0,D7/C7-1,0)</f>
        <v>0.15088694165419958</v>
      </c>
      <c r="F7">
        <v>100</v>
      </c>
      <c r="G7">
        <v>121</v>
      </c>
      <c r="H7" s="10">
        <f>IF(F7&gt;0,G7/F7-1,0)</f>
        <v>0.20999999999999996</v>
      </c>
      <c r="I7">
        <v>450</v>
      </c>
      <c r="J7">
        <v>1</v>
      </c>
      <c r="K7">
        <v>20</v>
      </c>
      <c r="L7">
        <v>1</v>
      </c>
    </row>
    <row r="8" spans="1:12">
      <c r="A8" t="s">
        <v>30</v>
      </c>
      <c r="B8">
        <v>30</v>
      </c>
      <c r="C8">
        <v>25510</v>
      </c>
      <c r="D8">
        <v>29612</v>
      </c>
      <c r="E8" s="10">
        <f>IF(C8&gt;0,D8/C8-1,0)</f>
        <v>0.1607996863974912</v>
      </c>
      <c r="F8">
        <v>356</v>
      </c>
      <c r="G8">
        <v>409</v>
      </c>
      <c r="H8" s="10">
        <f>IF(F8&gt;0,G8/F8-1,0)</f>
        <v>0.148876404494382</v>
      </c>
      <c r="I8">
        <v>1900</v>
      </c>
      <c r="J8">
        <v>2</v>
      </c>
      <c r="K8">
        <v>24</v>
      </c>
      <c r="L8">
        <v>2</v>
      </c>
    </row>
    <row r="9" spans="1:12">
      <c r="A9" t="s">
        <v>30</v>
      </c>
      <c r="B9">
        <v>90</v>
      </c>
      <c r="C9">
        <v>73490</v>
      </c>
      <c r="D9">
        <v>89948</v>
      </c>
      <c r="E9" s="10">
        <f>IF(C9&gt;0,D9/C9-1,0)</f>
        <v>0.22394883657640485</v>
      </c>
      <c r="F9">
        <v>757</v>
      </c>
      <c r="G9">
        <v>888</v>
      </c>
      <c r="H9" s="10">
        <f>IF(F9&gt;0,G9/F9-1,0)</f>
        <v>0.1730515191545574</v>
      </c>
      <c r="I9">
        <v>1900</v>
      </c>
      <c r="J9">
        <v>4</v>
      </c>
      <c r="K9">
        <v>39</v>
      </c>
      <c r="L9">
        <v>1</v>
      </c>
    </row>
    <row r="10" spans="1:12">
      <c r="A10" t="s">
        <v>31</v>
      </c>
      <c r="B10">
        <v>1</v>
      </c>
      <c r="C10">
        <v>1420</v>
      </c>
      <c r="D10">
        <v>1540</v>
      </c>
      <c r="E10" s="10">
        <f>IF(C10&gt;0,D10/C10-1,0)</f>
        <v>0.08450704225352124</v>
      </c>
      <c r="F10">
        <v>79</v>
      </c>
      <c r="G10">
        <v>82</v>
      </c>
      <c r="H10" s="10">
        <f>IF(F10&gt;0,G10/F10-1,0)</f>
        <v>0.03797468354430378</v>
      </c>
      <c r="I10">
        <v>0</v>
      </c>
      <c r="J10">
        <v>0</v>
      </c>
      <c r="K10">
        <v>18</v>
      </c>
      <c r="L10">
        <v>1</v>
      </c>
    </row>
    <row r="11" spans="1:12">
      <c r="A11" t="s">
        <v>31</v>
      </c>
      <c r="B11">
        <v>7</v>
      </c>
      <c r="C11">
        <v>14447</v>
      </c>
      <c r="D11">
        <v>16373</v>
      </c>
      <c r="E11" s="10">
        <f>IF(C11&gt;0,D11/C11-1,0)</f>
        <v>0.13331487506056616</v>
      </c>
      <c r="F11">
        <v>222</v>
      </c>
      <c r="G11">
        <v>270</v>
      </c>
      <c r="H11" s="10">
        <f>IF(F11&gt;0,G11/F11-1,0)</f>
        <v>0.21621621621621623</v>
      </c>
      <c r="I11">
        <v>2500</v>
      </c>
      <c r="J11">
        <v>2</v>
      </c>
      <c r="K11">
        <v>24</v>
      </c>
      <c r="L11">
        <v>7</v>
      </c>
    </row>
    <row r="12" spans="1:12">
      <c r="A12" t="s">
        <v>31</v>
      </c>
      <c r="B12">
        <v>30</v>
      </c>
      <c r="C12">
        <v>57259</v>
      </c>
      <c r="D12">
        <v>68181</v>
      </c>
      <c r="E12" s="10">
        <f>IF(C12&gt;0,D12/C12-1,0)</f>
        <v>0.19074730610035107</v>
      </c>
      <c r="F12">
        <v>612</v>
      </c>
      <c r="G12">
        <v>720</v>
      </c>
      <c r="H12" s="10">
        <f>IF(F12&gt;0,G12/F12-1,0)</f>
        <v>0.17647058823529416</v>
      </c>
      <c r="I12">
        <v>5900</v>
      </c>
      <c r="J12">
        <v>3</v>
      </c>
      <c r="K12">
        <v>36</v>
      </c>
      <c r="L12">
        <v>30</v>
      </c>
    </row>
    <row r="13" spans="1:12">
      <c r="A13" t="s">
        <v>31</v>
      </c>
      <c r="B13">
        <v>90</v>
      </c>
      <c r="C13">
        <v>171380</v>
      </c>
      <c r="D13">
        <v>211382</v>
      </c>
      <c r="E13" s="10">
        <f>IF(C13&gt;0,D13/C13-1,0)</f>
        <v>0.23341113315439377</v>
      </c>
      <c r="F13">
        <v>1391</v>
      </c>
      <c r="G13">
        <v>1677</v>
      </c>
      <c r="H13" s="10">
        <f>IF(F13&gt;0,G13/F13-1,0)</f>
        <v>0.20560747663551404</v>
      </c>
      <c r="I13">
        <v>5900</v>
      </c>
      <c r="J13">
        <v>5</v>
      </c>
      <c r="K13">
        <v>42</v>
      </c>
      <c r="L13">
        <v>90</v>
      </c>
    </row>
    <row r="14" spans="1:12">
      <c r="A14" t="s">
        <v>32</v>
      </c>
      <c r="B14">
        <v>1</v>
      </c>
      <c r="C14">
        <v>3597</v>
      </c>
      <c r="D14">
        <v>3845</v>
      </c>
      <c r="E14" s="10">
        <f>IF(C14&gt;0,D14/C14-1,0)</f>
        <v>0.06894634417570189</v>
      </c>
      <c r="F14">
        <v>98</v>
      </c>
      <c r="G14">
        <v>101</v>
      </c>
      <c r="H14" s="10">
        <f>IF(F14&gt;0,G14/F14-1,0)</f>
        <v>0.030612244897959107</v>
      </c>
      <c r="I14">
        <v>0</v>
      </c>
      <c r="J14">
        <v>0</v>
      </c>
      <c r="K14">
        <v>16</v>
      </c>
      <c r="L14">
        <v>1</v>
      </c>
    </row>
    <row r="15" spans="1:12">
      <c r="A15" t="s">
        <v>32</v>
      </c>
      <c r="B15">
        <v>7</v>
      </c>
      <c r="C15">
        <v>29830</v>
      </c>
      <c r="D15">
        <v>32832</v>
      </c>
      <c r="E15" s="10">
        <f>IF(C15&gt;0,D15/C15-1,0)</f>
        <v>0.10063694267515921</v>
      </c>
      <c r="F15">
        <v>383</v>
      </c>
      <c r="G15">
        <v>434</v>
      </c>
      <c r="H15" s="10">
        <f>IF(F15&gt;0,G15/F15-1,0)</f>
        <v>0.13315926892950403</v>
      </c>
      <c r="I15">
        <v>2500</v>
      </c>
      <c r="J15">
        <v>2</v>
      </c>
      <c r="K15">
        <v>20</v>
      </c>
      <c r="L15">
        <v>7</v>
      </c>
    </row>
    <row r="16" spans="1:12">
      <c r="A16" t="s">
        <v>32</v>
      </c>
      <c r="B16">
        <v>30</v>
      </c>
      <c r="C16">
        <v>127682</v>
      </c>
      <c r="D16">
        <v>147968</v>
      </c>
      <c r="E16" s="10">
        <f>IF(C16&gt;0,D16/C16-1,0)</f>
        <v>0.1588790902398145</v>
      </c>
      <c r="F16">
        <v>960</v>
      </c>
      <c r="G16">
        <v>1089</v>
      </c>
      <c r="H16" s="10">
        <f>IF(F16&gt;0,G16/F16-1,0)</f>
        <v>0.1343749999999999</v>
      </c>
      <c r="I16">
        <v>5900</v>
      </c>
      <c r="J16">
        <v>5</v>
      </c>
      <c r="K16">
        <v>42</v>
      </c>
      <c r="L16">
        <v>30</v>
      </c>
    </row>
    <row r="17" spans="1:12">
      <c r="A17" t="s">
        <v>32</v>
      </c>
      <c r="B17">
        <v>90</v>
      </c>
      <c r="C17">
        <v>297761</v>
      </c>
      <c r="D17">
        <v>368767</v>
      </c>
      <c r="E17" s="10">
        <f>IF(C17&gt;0,D17/C17-1,0)</f>
        <v>0.23846642105581317</v>
      </c>
      <c r="F17">
        <v>1758</v>
      </c>
      <c r="G17">
        <v>2095</v>
      </c>
      <c r="H17" s="10">
        <f>IF(F17&gt;0,G17/F17-1,0)</f>
        <v>0.19169510807736057</v>
      </c>
      <c r="I17">
        <v>5900</v>
      </c>
      <c r="J17">
        <v>5</v>
      </c>
      <c r="K17">
        <v>42</v>
      </c>
      <c r="L17">
        <v>90</v>
      </c>
    </row>
    <row r="18" spans="1:12">
      <c r="A18" t="s">
        <v>33</v>
      </c>
      <c r="B18">
        <v>1</v>
      </c>
      <c r="C18">
        <v>1690</v>
      </c>
      <c r="D18">
        <v>1810</v>
      </c>
      <c r="E18" s="10">
        <f>IF(C18&gt;0,D18/C18-1,0)</f>
        <v>0.07100591715976323</v>
      </c>
      <c r="F18">
        <v>79</v>
      </c>
      <c r="G18">
        <v>82</v>
      </c>
      <c r="H18" s="10">
        <f>IF(F18&gt;0,G18/F18-1,0)</f>
        <v>0.03797468354430378</v>
      </c>
      <c r="I18">
        <v>0</v>
      </c>
      <c r="J18">
        <v>0</v>
      </c>
      <c r="K18">
        <v>18</v>
      </c>
      <c r="L18">
        <v>1</v>
      </c>
    </row>
    <row r="19" spans="1:12">
      <c r="A19" t="s">
        <v>33</v>
      </c>
      <c r="B19">
        <v>7</v>
      </c>
      <c r="C19">
        <v>17449</v>
      </c>
      <c r="D19">
        <v>19407</v>
      </c>
      <c r="E19" s="10">
        <f>IF(C19&gt;0,D19/C19-1,0)</f>
        <v>0.11221273425411193</v>
      </c>
      <c r="F19">
        <v>222</v>
      </c>
      <c r="G19">
        <v>270</v>
      </c>
      <c r="H19" s="10">
        <f>IF(F19&gt;0,G19/F19-1,0)</f>
        <v>0.21621621621621623</v>
      </c>
      <c r="I19">
        <v>2500</v>
      </c>
      <c r="J19">
        <v>2</v>
      </c>
      <c r="K19">
        <v>24</v>
      </c>
      <c r="L19">
        <v>7</v>
      </c>
    </row>
    <row r="20" spans="1:12">
      <c r="A20" t="s">
        <v>33</v>
      </c>
      <c r="B20">
        <v>30</v>
      </c>
      <c r="C20">
        <v>68971</v>
      </c>
      <c r="D20">
        <v>80157</v>
      </c>
      <c r="E20" s="10">
        <f>IF(C20&gt;0,D20/C20-1,0)</f>
        <v>0.16218410636354408</v>
      </c>
      <c r="F20">
        <v>612</v>
      </c>
      <c r="G20">
        <v>720</v>
      </c>
      <c r="H20" s="10">
        <f>IF(F20&gt;0,G20/F20-1,0)</f>
        <v>0.17647058823529416</v>
      </c>
      <c r="I20">
        <v>5900</v>
      </c>
      <c r="J20">
        <v>4</v>
      </c>
      <c r="K20">
        <v>39</v>
      </c>
      <c r="L20">
        <v>30</v>
      </c>
    </row>
    <row r="21" spans="1:12">
      <c r="A21" t="s">
        <v>33</v>
      </c>
      <c r="B21">
        <v>90</v>
      </c>
      <c r="C21">
        <v>205158</v>
      </c>
      <c r="D21">
        <v>245688</v>
      </c>
      <c r="E21" s="10">
        <f>IF(C21&gt;0,D21/C21-1,0)</f>
        <v>0.19755505512824256</v>
      </c>
      <c r="F21">
        <v>1391</v>
      </c>
      <c r="G21">
        <v>1677</v>
      </c>
      <c r="H21" s="10">
        <f>IF(F21&gt;0,G21/F21-1,0)</f>
        <v>0.20560747663551404</v>
      </c>
      <c r="I21">
        <v>5900</v>
      </c>
      <c r="J21">
        <v>5</v>
      </c>
      <c r="K21">
        <v>42</v>
      </c>
      <c r="L21">
        <v>90</v>
      </c>
    </row>
    <row r="23" spans="1:12">
      <c r="A23" s="3" t="s">
        <v>561</v>
      </c>
      <c r="B23" s="3"/>
      <c r="C23" s="3"/>
      <c r="D23" s="3"/>
      <c r="E23" s="3"/>
      <c r="F23" s="3"/>
      <c r="G23" s="3"/>
      <c r="H23" s="3"/>
      <c r="I23" s="3"/>
      <c r="J23" s="3"/>
      <c r="K23" s="3"/>
      <c r="L23" s="3"/>
    </row>
    <row r="24" spans="1:12">
      <c r="A24" s="3"/>
      <c r="B24" s="3"/>
      <c r="C24" s="3"/>
      <c r="D24" s="3"/>
      <c r="E24" s="3"/>
      <c r="F24" s="3"/>
      <c r="G24" s="3"/>
      <c r="H24" s="3"/>
      <c r="I24" s="3"/>
      <c r="J24" s="3"/>
      <c r="K24" s="3"/>
      <c r="L24" s="3"/>
    </row>
    <row r="25" spans="1:12">
      <c r="A25" s="3"/>
      <c r="B25" s="3"/>
      <c r="C25" s="3"/>
      <c r="D25" s="3"/>
      <c r="E25" s="3"/>
      <c r="F25" s="3"/>
      <c r="G25" s="3"/>
      <c r="H25" s="3"/>
      <c r="I25" s="3"/>
      <c r="J25" s="3"/>
      <c r="K25" s="3"/>
      <c r="L25" s="3"/>
    </row>
    <row r="26" spans="1:12">
      <c r="A26" s="3"/>
      <c r="B26" s="3"/>
      <c r="C26" s="3"/>
      <c r="D26" s="3"/>
      <c r="E26" s="3"/>
      <c r="F26" s="3"/>
      <c r="G26" s="3"/>
      <c r="H26" s="3"/>
      <c r="I26" s="3"/>
      <c r="J26" s="3"/>
      <c r="K26" s="3"/>
      <c r="L26" s="3"/>
    </row>
  </sheetData>
  <autoFilter ref="A1:L21"/>
  <mergeCells count="1">
    <mergeCell ref="A23:L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6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0.7109375" customWidth="1"/>
    <col min="2" max="2" width="16.7109375" customWidth="1"/>
    <col min="3" max="3" width="15.7109375" customWidth="1"/>
    <col min="4" max="4" width="17.7109375" customWidth="1"/>
    <col min="5" max="5" width="22.7109375" customWidth="1"/>
    <col min="6" max="7" width="24.7109375" customWidth="1"/>
    <col min="8" max="8" width="36.7109375" customWidth="1"/>
  </cols>
  <sheetData>
    <row r="1" spans="1:8" ht="32" customHeight="1">
      <c r="A1" s="5" t="s">
        <v>562</v>
      </c>
      <c r="B1" s="5" t="s">
        <v>563</v>
      </c>
      <c r="C1" s="5" t="s">
        <v>564</v>
      </c>
      <c r="D1" s="5" t="s">
        <v>565</v>
      </c>
      <c r="E1" s="5" t="s">
        <v>566</v>
      </c>
      <c r="F1" s="5" t="s">
        <v>567</v>
      </c>
      <c r="G1" s="5" t="s">
        <v>568</v>
      </c>
      <c r="H1" s="5" t="s">
        <v>569</v>
      </c>
    </row>
    <row r="2" spans="1:8">
      <c r="A2" t="s">
        <v>570</v>
      </c>
      <c r="B2">
        <v>100</v>
      </c>
      <c r="C2">
        <v>0</v>
      </c>
      <c r="D2">
        <v>0</v>
      </c>
      <c r="E2">
        <v>0</v>
      </c>
      <c r="F2">
        <v>0</v>
      </c>
      <c r="H2">
        <v>0</v>
      </c>
    </row>
    <row r="3" spans="1:8">
      <c r="A3" t="s">
        <v>571</v>
      </c>
      <c r="B3">
        <v>150</v>
      </c>
      <c r="C3">
        <v>0</v>
      </c>
      <c r="D3">
        <v>0</v>
      </c>
      <c r="E3">
        <v>0</v>
      </c>
      <c r="F3">
        <v>1</v>
      </c>
      <c r="G3" t="s">
        <v>572</v>
      </c>
      <c r="H3">
        <v>450</v>
      </c>
    </row>
    <row r="4" spans="1:8">
      <c r="A4" t="s">
        <v>573</v>
      </c>
      <c r="B4">
        <v>200</v>
      </c>
      <c r="C4">
        <v>5</v>
      </c>
      <c r="D4">
        <v>0</v>
      </c>
      <c r="E4">
        <v>15</v>
      </c>
      <c r="F4">
        <v>0</v>
      </c>
      <c r="H4">
        <v>0</v>
      </c>
    </row>
    <row r="5" spans="1:8">
      <c r="A5" t="s">
        <v>574</v>
      </c>
      <c r="B5">
        <v>250</v>
      </c>
      <c r="C5">
        <v>0</v>
      </c>
      <c r="D5">
        <v>0</v>
      </c>
      <c r="E5">
        <v>0</v>
      </c>
      <c r="F5">
        <v>1</v>
      </c>
      <c r="H5">
        <v>0</v>
      </c>
    </row>
    <row r="6" spans="1:8">
      <c r="A6" t="s">
        <v>575</v>
      </c>
      <c r="B6">
        <v>300</v>
      </c>
      <c r="C6">
        <v>0</v>
      </c>
      <c r="D6">
        <v>1</v>
      </c>
      <c r="E6">
        <v>0</v>
      </c>
      <c r="F6">
        <v>0</v>
      </c>
      <c r="G6" t="s">
        <v>576</v>
      </c>
      <c r="H6">
        <v>700</v>
      </c>
    </row>
    <row r="7" spans="1:8">
      <c r="A7" t="s">
        <v>577</v>
      </c>
      <c r="B7">
        <v>350</v>
      </c>
      <c r="C7">
        <v>0</v>
      </c>
      <c r="D7">
        <v>0</v>
      </c>
      <c r="E7">
        <v>5</v>
      </c>
      <c r="F7">
        <v>0</v>
      </c>
      <c r="H7">
        <v>0</v>
      </c>
    </row>
    <row r="8" spans="1:8">
      <c r="A8" t="s">
        <v>578</v>
      </c>
      <c r="B8">
        <v>400</v>
      </c>
      <c r="C8">
        <v>20</v>
      </c>
      <c r="D8">
        <v>0</v>
      </c>
      <c r="E8">
        <v>0</v>
      </c>
      <c r="F8">
        <v>0</v>
      </c>
      <c r="G8" t="s">
        <v>579</v>
      </c>
      <c r="H8">
        <v>750</v>
      </c>
    </row>
    <row r="9" spans="1:8">
      <c r="A9" s="5" t="s">
        <v>580</v>
      </c>
      <c r="B9" s="8">
        <f>SUM(B2:B8)</f>
        <v>0</v>
      </c>
      <c r="C9" s="8">
        <f>SUM(C2:C8)</f>
        <v>0</v>
      </c>
      <c r="D9" s="8">
        <f>SUM(D2:D8)</f>
        <v>0</v>
      </c>
      <c r="E9" s="8">
        <f>SUM(E2:E8)</f>
        <v>0</v>
      </c>
      <c r="F9" s="8">
        <f>SUM(F2:F8)</f>
        <v>0</v>
      </c>
      <c r="H9" s="8">
        <f>SUM(H2:H8)</f>
        <v>0</v>
      </c>
    </row>
    <row r="12" spans="1:8">
      <c r="A12" s="5" t="s">
        <v>560</v>
      </c>
      <c r="B12" s="5" t="s">
        <v>39</v>
      </c>
      <c r="C12" s="5" t="s">
        <v>55</v>
      </c>
      <c r="D12" s="5" t="s">
        <v>581</v>
      </c>
      <c r="E12" s="5" t="s">
        <v>582</v>
      </c>
    </row>
    <row r="13" spans="1:8">
      <c r="A13" t="s">
        <v>570</v>
      </c>
      <c r="B13">
        <v>20</v>
      </c>
      <c r="C13">
        <v>0</v>
      </c>
      <c r="E13">
        <v>0</v>
      </c>
    </row>
    <row r="14" spans="1:8">
      <c r="A14" t="s">
        <v>571</v>
      </c>
      <c r="B14">
        <v>30</v>
      </c>
      <c r="C14">
        <v>0</v>
      </c>
      <c r="E14">
        <v>0</v>
      </c>
    </row>
    <row r="15" spans="1:8">
      <c r="A15" t="s">
        <v>573</v>
      </c>
      <c r="B15">
        <v>40</v>
      </c>
      <c r="C15">
        <v>2</v>
      </c>
      <c r="E15">
        <v>0</v>
      </c>
    </row>
    <row r="16" spans="1:8">
      <c r="A16" t="s">
        <v>574</v>
      </c>
      <c r="B16">
        <v>50</v>
      </c>
      <c r="C16">
        <v>0</v>
      </c>
      <c r="E16">
        <v>0</v>
      </c>
    </row>
    <row r="17" spans="1:5">
      <c r="A17" t="s">
        <v>575</v>
      </c>
      <c r="B17">
        <v>60</v>
      </c>
      <c r="C17">
        <v>3</v>
      </c>
      <c r="E17">
        <v>0</v>
      </c>
    </row>
    <row r="18" spans="1:5">
      <c r="A18" t="s">
        <v>577</v>
      </c>
      <c r="B18">
        <v>70</v>
      </c>
      <c r="C18">
        <v>0</v>
      </c>
      <c r="E18">
        <v>0</v>
      </c>
    </row>
    <row r="19" spans="1:5">
      <c r="A19" t="s">
        <v>578</v>
      </c>
      <c r="B19">
        <v>80</v>
      </c>
      <c r="C19">
        <v>5</v>
      </c>
      <c r="D19" t="s">
        <v>583</v>
      </c>
      <c r="E19">
        <v>600</v>
      </c>
    </row>
    <row r="20" spans="1:5">
      <c r="A20" t="s">
        <v>584</v>
      </c>
      <c r="B20">
        <v>80</v>
      </c>
      <c r="C20">
        <v>5</v>
      </c>
      <c r="D20" t="s">
        <v>585</v>
      </c>
      <c r="E20">
        <v>1400</v>
      </c>
    </row>
    <row r="21" spans="1:5">
      <c r="A21" t="s">
        <v>586</v>
      </c>
      <c r="B21">
        <v>80</v>
      </c>
      <c r="C21">
        <v>0</v>
      </c>
      <c r="D21" t="s">
        <v>587</v>
      </c>
      <c r="E21">
        <v>2000</v>
      </c>
    </row>
    <row r="22" spans="1:5">
      <c r="A22" s="3" t="s">
        <v>588</v>
      </c>
    </row>
    <row r="25" spans="1:5">
      <c r="A25" s="5" t="s">
        <v>589</v>
      </c>
      <c r="B25" s="5" t="s">
        <v>590</v>
      </c>
    </row>
    <row r="26" spans="1:5">
      <c r="A26" t="s">
        <v>591</v>
      </c>
      <c r="B26">
        <v>100</v>
      </c>
    </row>
    <row r="27" spans="1:5">
      <c r="A27" t="s">
        <v>592</v>
      </c>
      <c r="B27">
        <v>3</v>
      </c>
    </row>
    <row r="28" spans="1:5">
      <c r="A28" t="s">
        <v>593</v>
      </c>
      <c r="B28">
        <v>26</v>
      </c>
    </row>
    <row r="29" spans="1:5">
      <c r="A29" t="s">
        <v>594</v>
      </c>
      <c r="B29">
        <v>1260</v>
      </c>
    </row>
    <row r="30" spans="1:5">
      <c r="A30" t="s">
        <v>595</v>
      </c>
      <c r="B30">
        <v>123</v>
      </c>
    </row>
    <row r="31" spans="1:5">
      <c r="A31" t="s">
        <v>596</v>
      </c>
      <c r="B31">
        <v>102</v>
      </c>
    </row>
    <row r="32" spans="1:5">
      <c r="A32" t="s">
        <v>597</v>
      </c>
      <c r="B32">
        <v>144</v>
      </c>
    </row>
    <row r="33" spans="1:5">
      <c r="A33" t="s">
        <v>598</v>
      </c>
      <c r="B33" t="s">
        <v>599</v>
      </c>
    </row>
    <row r="36" spans="1:5">
      <c r="A36" s="5" t="s">
        <v>20</v>
      </c>
      <c r="B36" s="5" t="s">
        <v>35</v>
      </c>
      <c r="C36" s="5" t="s">
        <v>36</v>
      </c>
      <c r="D36" s="5" t="s">
        <v>600</v>
      </c>
      <c r="E36" s="5" t="s">
        <v>601</v>
      </c>
    </row>
    <row r="37" spans="1:5">
      <c r="A37" t="s">
        <v>29</v>
      </c>
      <c r="B37" t="s">
        <v>39</v>
      </c>
      <c r="C37" t="s">
        <v>52</v>
      </c>
      <c r="D37">
        <v>910</v>
      </c>
      <c r="E37" s="10">
        <v>0.01886127634878853</v>
      </c>
    </row>
    <row r="38" spans="1:5">
      <c r="A38" t="s">
        <v>29</v>
      </c>
      <c r="B38" t="s">
        <v>39</v>
      </c>
      <c r="C38" t="s">
        <v>53</v>
      </c>
      <c r="D38">
        <v>1300</v>
      </c>
      <c r="E38" s="10">
        <v>0.02694468049826932</v>
      </c>
    </row>
    <row r="39" spans="1:5">
      <c r="A39" t="s">
        <v>29</v>
      </c>
      <c r="B39" t="s">
        <v>39</v>
      </c>
      <c r="C39" t="s">
        <v>54</v>
      </c>
      <c r="D39">
        <v>7648</v>
      </c>
      <c r="E39" s="10">
        <v>0.1585176280390491</v>
      </c>
    </row>
    <row r="40" spans="1:5">
      <c r="A40" t="s">
        <v>29</v>
      </c>
      <c r="B40" t="s">
        <v>55</v>
      </c>
      <c r="C40" t="s">
        <v>60</v>
      </c>
      <c r="D40">
        <v>20</v>
      </c>
      <c r="E40" s="10">
        <v>0.03795066413662239</v>
      </c>
    </row>
    <row r="41" spans="1:5">
      <c r="A41" t="s">
        <v>29</v>
      </c>
      <c r="B41" t="s">
        <v>55</v>
      </c>
      <c r="C41" t="s">
        <v>52</v>
      </c>
      <c r="D41">
        <v>0</v>
      </c>
      <c r="E41" s="10">
        <v>0</v>
      </c>
    </row>
    <row r="42" spans="1:5">
      <c r="A42" t="s">
        <v>29</v>
      </c>
      <c r="B42" t="s">
        <v>55</v>
      </c>
      <c r="C42" t="s">
        <v>53</v>
      </c>
      <c r="D42">
        <v>39</v>
      </c>
      <c r="E42" s="10">
        <v>0.07400379506641366</v>
      </c>
    </row>
    <row r="43" spans="1:5">
      <c r="A43" t="s">
        <v>30</v>
      </c>
      <c r="B43" t="s">
        <v>39</v>
      </c>
      <c r="C43" t="s">
        <v>52</v>
      </c>
      <c r="D43">
        <v>1390</v>
      </c>
      <c r="E43" s="10">
        <v>0.01545337305999022</v>
      </c>
    </row>
    <row r="44" spans="1:5">
      <c r="A44" t="s">
        <v>30</v>
      </c>
      <c r="B44" t="s">
        <v>39</v>
      </c>
      <c r="C44" t="s">
        <v>53</v>
      </c>
      <c r="D44">
        <v>2900</v>
      </c>
      <c r="E44" s="10">
        <v>0.03224085026904434</v>
      </c>
    </row>
    <row r="45" spans="1:5">
      <c r="A45" t="s">
        <v>30</v>
      </c>
      <c r="B45" t="s">
        <v>39</v>
      </c>
      <c r="C45" t="s">
        <v>54</v>
      </c>
      <c r="D45">
        <v>12168</v>
      </c>
      <c r="E45" s="10">
        <v>0.1352781607150798</v>
      </c>
    </row>
    <row r="46" spans="1:5">
      <c r="A46" t="s">
        <v>30</v>
      </c>
      <c r="B46" t="s">
        <v>55</v>
      </c>
      <c r="C46" t="s">
        <v>60</v>
      </c>
      <c r="D46">
        <v>20</v>
      </c>
      <c r="E46" s="10">
        <v>0.02252252252252252</v>
      </c>
    </row>
    <row r="47" spans="1:5">
      <c r="A47" t="s">
        <v>30</v>
      </c>
      <c r="B47" t="s">
        <v>55</v>
      </c>
      <c r="C47" t="s">
        <v>52</v>
      </c>
      <c r="D47">
        <v>24</v>
      </c>
      <c r="E47" s="10">
        <v>0.02702702702702703</v>
      </c>
    </row>
    <row r="48" spans="1:5">
      <c r="A48" t="s">
        <v>30</v>
      </c>
      <c r="B48" t="s">
        <v>55</v>
      </c>
      <c r="C48" t="s">
        <v>53</v>
      </c>
      <c r="D48">
        <v>87</v>
      </c>
      <c r="E48" s="10">
        <v>0.09797297297297297</v>
      </c>
    </row>
    <row r="49" spans="1:5">
      <c r="A49" t="s">
        <v>31</v>
      </c>
      <c r="B49" t="s">
        <v>39</v>
      </c>
      <c r="C49" t="s">
        <v>52</v>
      </c>
      <c r="D49">
        <v>6990</v>
      </c>
      <c r="E49" s="10">
        <v>0.03306809472897408</v>
      </c>
    </row>
    <row r="50" spans="1:5">
      <c r="A50" t="s">
        <v>31</v>
      </c>
      <c r="B50" t="s">
        <v>39</v>
      </c>
      <c r="C50" t="s">
        <v>53</v>
      </c>
      <c r="D50">
        <v>6700</v>
      </c>
      <c r="E50" s="10">
        <v>0.0316961709133228</v>
      </c>
    </row>
    <row r="51" spans="1:5">
      <c r="A51" t="s">
        <v>31</v>
      </c>
      <c r="B51" t="s">
        <v>39</v>
      </c>
      <c r="C51" t="s">
        <v>54</v>
      </c>
      <c r="D51">
        <v>26312</v>
      </c>
      <c r="E51" s="10">
        <v>0.1244760670255746</v>
      </c>
    </row>
    <row r="52" spans="1:5">
      <c r="A52" t="s">
        <v>31</v>
      </c>
      <c r="B52" t="s">
        <v>55</v>
      </c>
      <c r="C52" t="s">
        <v>60</v>
      </c>
      <c r="D52">
        <v>20</v>
      </c>
      <c r="E52" s="10">
        <v>0.01192605843768635</v>
      </c>
    </row>
    <row r="53" spans="1:5">
      <c r="A53" t="s">
        <v>31</v>
      </c>
      <c r="B53" t="s">
        <v>55</v>
      </c>
      <c r="C53" t="s">
        <v>52</v>
      </c>
      <c r="D53">
        <v>65</v>
      </c>
      <c r="E53" s="10">
        <v>0.03875968992248062</v>
      </c>
    </row>
    <row r="54" spans="1:5">
      <c r="A54" t="s">
        <v>31</v>
      </c>
      <c r="B54" t="s">
        <v>55</v>
      </c>
      <c r="C54" t="s">
        <v>53</v>
      </c>
      <c r="D54">
        <v>201</v>
      </c>
      <c r="E54" s="10">
        <v>0.1198568872987478</v>
      </c>
    </row>
    <row r="55" spans="1:5">
      <c r="A55" t="s">
        <v>32</v>
      </c>
      <c r="B55" t="s">
        <v>39</v>
      </c>
      <c r="C55" t="s">
        <v>52</v>
      </c>
      <c r="D55">
        <v>6990</v>
      </c>
      <c r="E55" s="10">
        <v>0.018955058343073</v>
      </c>
    </row>
    <row r="56" spans="1:5">
      <c r="A56" t="s">
        <v>32</v>
      </c>
      <c r="B56" t="s">
        <v>39</v>
      </c>
      <c r="C56" t="s">
        <v>53</v>
      </c>
      <c r="D56">
        <v>8400</v>
      </c>
      <c r="E56" s="10">
        <v>0.02277861088437957</v>
      </c>
    </row>
    <row r="57" spans="1:5">
      <c r="A57" t="s">
        <v>32</v>
      </c>
      <c r="B57" t="s">
        <v>39</v>
      </c>
      <c r="C57" t="s">
        <v>54</v>
      </c>
      <c r="D57">
        <v>55616</v>
      </c>
      <c r="E57" s="10">
        <v>0.1508160979697207</v>
      </c>
    </row>
    <row r="58" spans="1:5">
      <c r="A58" t="s">
        <v>32</v>
      </c>
      <c r="B58" t="s">
        <v>55</v>
      </c>
      <c r="C58" t="s">
        <v>60</v>
      </c>
      <c r="D58">
        <v>20</v>
      </c>
      <c r="E58" s="10">
        <v>0.009546539379474941</v>
      </c>
    </row>
    <row r="59" spans="1:5">
      <c r="A59" t="s">
        <v>32</v>
      </c>
      <c r="B59" t="s">
        <v>55</v>
      </c>
      <c r="C59" t="s">
        <v>52</v>
      </c>
      <c r="D59">
        <v>65</v>
      </c>
      <c r="E59" s="10">
        <v>0.03102625298329355</v>
      </c>
    </row>
    <row r="60" spans="1:5">
      <c r="A60" t="s">
        <v>32</v>
      </c>
      <c r="B60" t="s">
        <v>55</v>
      </c>
      <c r="C60" t="s">
        <v>53</v>
      </c>
      <c r="D60">
        <v>252</v>
      </c>
      <c r="E60" s="10">
        <v>0.1202863961813842</v>
      </c>
    </row>
    <row r="61" spans="1:5">
      <c r="A61" t="s">
        <v>33</v>
      </c>
      <c r="B61" t="s">
        <v>39</v>
      </c>
      <c r="C61" t="s">
        <v>52</v>
      </c>
      <c r="D61">
        <v>6990</v>
      </c>
      <c r="E61" s="10">
        <v>0.02845071798378431</v>
      </c>
    </row>
    <row r="62" spans="1:5">
      <c r="A62" t="s">
        <v>33</v>
      </c>
      <c r="B62" t="s">
        <v>39</v>
      </c>
      <c r="C62" t="s">
        <v>53</v>
      </c>
      <c r="D62">
        <v>6700</v>
      </c>
      <c r="E62" s="10">
        <v>0.02727035915470027</v>
      </c>
    </row>
    <row r="63" spans="1:5">
      <c r="A63" t="s">
        <v>33</v>
      </c>
      <c r="B63" t="s">
        <v>39</v>
      </c>
      <c r="C63" t="s">
        <v>54</v>
      </c>
      <c r="D63">
        <v>26840</v>
      </c>
      <c r="E63" s="10">
        <v>0.1092442447331575</v>
      </c>
    </row>
    <row r="64" spans="1:5">
      <c r="A64" t="s">
        <v>33</v>
      </c>
      <c r="B64" t="s">
        <v>55</v>
      </c>
      <c r="C64" t="s">
        <v>60</v>
      </c>
      <c r="D64">
        <v>20</v>
      </c>
      <c r="E64" s="10">
        <v>0.01192605843768635</v>
      </c>
    </row>
    <row r="65" spans="1:5">
      <c r="A65" t="s">
        <v>33</v>
      </c>
      <c r="B65" t="s">
        <v>55</v>
      </c>
      <c r="C65" t="s">
        <v>52</v>
      </c>
      <c r="D65">
        <v>65</v>
      </c>
      <c r="E65" s="10">
        <v>0.03875968992248062</v>
      </c>
    </row>
    <row r="66" spans="1:5">
      <c r="A66" t="s">
        <v>33</v>
      </c>
      <c r="B66" t="s">
        <v>55</v>
      </c>
      <c r="C66" t="s">
        <v>53</v>
      </c>
      <c r="D66">
        <v>201</v>
      </c>
      <c r="E66" s="10">
        <v>0.1198568872987478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5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6.7109375" customWidth="1"/>
    <col min="2" max="2" width="28.7109375" customWidth="1"/>
    <col min="3" max="4" width="24.7109375" customWidth="1"/>
    <col min="5" max="5" width="16.7109375" customWidth="1"/>
    <col min="6" max="6" width="18.7109375" customWidth="1"/>
    <col min="7" max="7" width="30.7109375" customWidth="1"/>
  </cols>
  <sheetData>
    <row r="1" spans="1:7" ht="32" customHeight="1">
      <c r="A1" s="5" t="s">
        <v>558</v>
      </c>
      <c r="B1" s="5" t="s">
        <v>602</v>
      </c>
      <c r="C1" s="5" t="s">
        <v>603</v>
      </c>
      <c r="D1" s="5" t="s">
        <v>604</v>
      </c>
      <c r="E1" s="5" t="s">
        <v>605</v>
      </c>
      <c r="F1" s="5" t="s">
        <v>606</v>
      </c>
      <c r="G1" s="5" t="s">
        <v>607</v>
      </c>
    </row>
    <row r="2" spans="1:7">
      <c r="A2" t="s">
        <v>608</v>
      </c>
      <c r="B2" s="6">
        <v>16</v>
      </c>
      <c r="C2" s="6">
        <v>0</v>
      </c>
      <c r="D2" s="7">
        <v>0</v>
      </c>
      <c r="E2" s="7">
        <v>0</v>
      </c>
      <c r="F2" s="8">
        <f>ROUND((B2+C2)*(1+D2+E2),0)</f>
        <v>16</v>
      </c>
      <c r="G2" s="8">
        <f>F2*$B$10</f>
        <v>128</v>
      </c>
    </row>
    <row r="3" spans="1:7">
      <c r="A3" t="s">
        <v>609</v>
      </c>
      <c r="B3" s="6">
        <v>18</v>
      </c>
      <c r="C3" s="6">
        <v>0</v>
      </c>
      <c r="D3" s="7">
        <v>0</v>
      </c>
      <c r="E3" s="7">
        <v>0</v>
      </c>
      <c r="F3" s="8">
        <f>ROUND((B3+C3)*(1+D3+E3),0)</f>
        <v>18</v>
      </c>
      <c r="G3" s="8">
        <f>F3*$B$10</f>
        <v>144</v>
      </c>
    </row>
    <row r="4" spans="1:7">
      <c r="A4" t="s">
        <v>610</v>
      </c>
      <c r="B4" s="6">
        <v>20</v>
      </c>
      <c r="C4" s="6">
        <v>0</v>
      </c>
      <c r="D4" s="7">
        <v>0</v>
      </c>
      <c r="E4" s="7">
        <v>0</v>
      </c>
      <c r="F4" s="8">
        <f>ROUND((B4+C4)*(1+D4+E4),0)</f>
        <v>20</v>
      </c>
      <c r="G4" s="8">
        <f>F4*$B$10</f>
        <v>160</v>
      </c>
    </row>
    <row r="5" spans="1:7">
      <c r="A5" t="s">
        <v>611</v>
      </c>
      <c r="B5" s="6">
        <v>22</v>
      </c>
      <c r="C5" s="6">
        <v>0</v>
      </c>
      <c r="D5" s="7">
        <v>0</v>
      </c>
      <c r="E5" s="7">
        <v>0</v>
      </c>
      <c r="F5" s="8">
        <f>ROUND((B5+C5)*(1+D5+E5),0)</f>
        <v>22</v>
      </c>
      <c r="G5" s="8">
        <f>F5*$B$10</f>
        <v>176</v>
      </c>
    </row>
    <row r="6" spans="1:7">
      <c r="A6" t="s">
        <v>612</v>
      </c>
      <c r="B6" s="6">
        <v>24</v>
      </c>
      <c r="C6" s="6">
        <v>0</v>
      </c>
      <c r="D6" s="7">
        <v>0</v>
      </c>
      <c r="E6" s="7">
        <v>0</v>
      </c>
      <c r="F6" s="8">
        <f>ROUND((B6+C6)*(1+D6+E6),0)</f>
        <v>24</v>
      </c>
      <c r="G6" s="8">
        <f>F6*$B$10</f>
        <v>192</v>
      </c>
    </row>
    <row r="7" spans="1:7">
      <c r="A7" t="s">
        <v>613</v>
      </c>
      <c r="B7" s="6">
        <v>26</v>
      </c>
      <c r="C7" s="6">
        <v>0</v>
      </c>
      <c r="D7" s="7">
        <v>0</v>
      </c>
      <c r="E7" s="7">
        <v>0</v>
      </c>
      <c r="F7" s="8">
        <f>ROUND((B7+C7)*(1+D7+E7),0)</f>
        <v>26</v>
      </c>
      <c r="G7" s="8">
        <f>F7*$B$10</f>
        <v>208</v>
      </c>
    </row>
    <row r="8" spans="1:7">
      <c r="A8" t="s">
        <v>614</v>
      </c>
      <c r="B8" s="6">
        <v>26</v>
      </c>
      <c r="C8" s="6">
        <v>5</v>
      </c>
      <c r="D8" s="7">
        <v>0.3</v>
      </c>
      <c r="E8" s="7">
        <v>0.1</v>
      </c>
      <c r="F8" s="8">
        <f>ROUND((B8+C8)*(1+D8+E8),0)</f>
        <v>43</v>
      </c>
      <c r="G8" s="8">
        <f>F8*$B$10</f>
        <v>344</v>
      </c>
    </row>
    <row r="10" spans="1:7">
      <c r="A10" t="s">
        <v>615</v>
      </c>
      <c r="B10" s="6">
        <v>8</v>
      </c>
    </row>
    <row r="11" spans="1:7">
      <c r="A11" t="s">
        <v>616</v>
      </c>
      <c r="B11" s="7">
        <v>0.4</v>
      </c>
    </row>
    <row r="12" spans="1:7">
      <c r="A12" s="3" t="s">
        <v>617</v>
      </c>
      <c r="B12" s="3"/>
      <c r="C12" s="3"/>
      <c r="D12" s="3"/>
      <c r="E12" s="3"/>
      <c r="F12" s="3"/>
      <c r="G12" s="3"/>
    </row>
    <row r="13" spans="1:7">
      <c r="A13" s="3"/>
      <c r="B13" s="3"/>
      <c r="C13" s="3"/>
      <c r="D13" s="3"/>
      <c r="E13" s="3"/>
      <c r="F13" s="3"/>
      <c r="G13" s="3"/>
    </row>
    <row r="14" spans="1:7">
      <c r="A14" s="3"/>
      <c r="B14" s="3"/>
      <c r="C14" s="3"/>
      <c r="D14" s="3"/>
      <c r="E14" s="3"/>
      <c r="F14" s="3"/>
      <c r="G14" s="3"/>
    </row>
    <row r="16" spans="1:7">
      <c r="A16" s="5" t="s">
        <v>20</v>
      </c>
      <c r="B16" s="5" t="s">
        <v>618</v>
      </c>
      <c r="C16" s="5" t="s">
        <v>619</v>
      </c>
      <c r="D16" s="5" t="s">
        <v>620</v>
      </c>
      <c r="E16" s="5" t="s">
        <v>621</v>
      </c>
      <c r="F16" s="5" t="s">
        <v>622</v>
      </c>
      <c r="G16" s="5" t="s">
        <v>623</v>
      </c>
    </row>
    <row r="17" spans="1:7">
      <c r="A17" t="s">
        <v>29</v>
      </c>
      <c r="B17" t="s">
        <v>624</v>
      </c>
      <c r="C17">
        <v>37</v>
      </c>
      <c r="D17">
        <v>426</v>
      </c>
      <c r="E17" s="10">
        <f>IF(D17&gt;0,C17/D17,0)</f>
        <v>0.08576214405360133</v>
      </c>
      <c r="F17">
        <v>20</v>
      </c>
      <c r="G17">
        <v>160</v>
      </c>
    </row>
    <row r="18" spans="1:7">
      <c r="A18" t="s">
        <v>29</v>
      </c>
      <c r="B18" t="s">
        <v>625</v>
      </c>
      <c r="C18">
        <v>75</v>
      </c>
      <c r="D18">
        <v>415</v>
      </c>
      <c r="E18" s="10">
        <f>IF(D18&gt;0,C18/D18,0)</f>
        <v>0.18122705820660726</v>
      </c>
      <c r="F18">
        <v>24</v>
      </c>
      <c r="G18">
        <v>192</v>
      </c>
    </row>
    <row r="19" spans="1:7">
      <c r="A19" t="s">
        <v>29</v>
      </c>
      <c r="B19" t="s">
        <v>626</v>
      </c>
      <c r="C19">
        <v>94</v>
      </c>
      <c r="D19">
        <v>460</v>
      </c>
      <c r="E19" s="10">
        <f>IF(D19&gt;0,C19/D19,0)</f>
        <v>0.2053736538670728</v>
      </c>
      <c r="F19">
        <v>33</v>
      </c>
      <c r="G19">
        <v>264</v>
      </c>
    </row>
    <row r="20" spans="1:7">
      <c r="A20" t="s">
        <v>30</v>
      </c>
      <c r="B20" t="s">
        <v>624</v>
      </c>
      <c r="C20">
        <v>59</v>
      </c>
      <c r="D20">
        <v>638</v>
      </c>
      <c r="E20" s="10">
        <f>IF(D20&gt;0,C20/D20,0)</f>
        <v>0.09308570149921683</v>
      </c>
      <c r="F20">
        <v>20</v>
      </c>
      <c r="G20">
        <v>160</v>
      </c>
    </row>
    <row r="21" spans="1:7">
      <c r="A21" t="s">
        <v>30</v>
      </c>
      <c r="B21" t="s">
        <v>625</v>
      </c>
      <c r="C21">
        <v>102</v>
      </c>
      <c r="D21">
        <v>952</v>
      </c>
      <c r="E21" s="10">
        <f>IF(D21&gt;0,C21/D21,0)</f>
        <v>0.10671052030514823</v>
      </c>
      <c r="F21">
        <v>24</v>
      </c>
      <c r="G21">
        <v>192</v>
      </c>
    </row>
    <row r="22" spans="1:7">
      <c r="A22" t="s">
        <v>30</v>
      </c>
      <c r="B22" t="s">
        <v>626</v>
      </c>
      <c r="C22">
        <v>157</v>
      </c>
      <c r="D22">
        <v>849</v>
      </c>
      <c r="E22" s="10">
        <f>IF(D22&gt;0,C22/D22,0)</f>
        <v>0.18491751767478395</v>
      </c>
      <c r="F22">
        <v>39</v>
      </c>
      <c r="G22">
        <v>312</v>
      </c>
    </row>
    <row r="23" spans="1:7">
      <c r="A23" t="s">
        <v>31</v>
      </c>
      <c r="B23" t="s">
        <v>624</v>
      </c>
      <c r="C23">
        <v>139</v>
      </c>
      <c r="D23">
        <v>2128</v>
      </c>
      <c r="E23" s="10">
        <f>IF(D23&gt;0,C23/D23,0)</f>
        <v>0.06551654695576291</v>
      </c>
      <c r="F23">
        <v>24</v>
      </c>
      <c r="G23">
        <v>192</v>
      </c>
    </row>
    <row r="24" spans="1:7">
      <c r="A24" t="s">
        <v>31</v>
      </c>
      <c r="B24" t="s">
        <v>625</v>
      </c>
      <c r="C24">
        <v>246</v>
      </c>
      <c r="D24">
        <v>2007</v>
      </c>
      <c r="E24" s="10">
        <f>IF(D24&gt;0,C24/D24,0)</f>
        <v>0.12255156872941585</v>
      </c>
      <c r="F24">
        <v>36</v>
      </c>
      <c r="G24">
        <v>288</v>
      </c>
    </row>
    <row r="25" spans="1:7">
      <c r="A25" t="s">
        <v>31</v>
      </c>
      <c r="B25" t="s">
        <v>626</v>
      </c>
      <c r="C25">
        <v>328</v>
      </c>
      <c r="D25">
        <v>2059</v>
      </c>
      <c r="E25" s="10">
        <f>IF(D25&gt;0,C25/D25,0)</f>
        <v>0.1593251349972879</v>
      </c>
      <c r="F25">
        <v>42</v>
      </c>
      <c r="G25">
        <v>336</v>
      </c>
    </row>
    <row r="26" spans="1:7">
      <c r="A26" t="s">
        <v>32</v>
      </c>
      <c r="B26" t="s">
        <v>624</v>
      </c>
      <c r="C26">
        <v>279</v>
      </c>
      <c r="D26">
        <v>4340</v>
      </c>
      <c r="E26" s="10">
        <f>IF(D26&gt;0,C26/D26,0)</f>
        <v>0.06425279789335088</v>
      </c>
      <c r="F26">
        <v>20</v>
      </c>
      <c r="G26">
        <v>160</v>
      </c>
    </row>
    <row r="27" spans="1:7">
      <c r="A27" t="s">
        <v>32</v>
      </c>
      <c r="B27" t="s">
        <v>625</v>
      </c>
      <c r="C27">
        <v>580</v>
      </c>
      <c r="D27">
        <v>4426</v>
      </c>
      <c r="E27" s="10">
        <f>IF(D27&gt;0,C27/D27,0)</f>
        <v>0.1310908519333543</v>
      </c>
      <c r="F27">
        <v>42</v>
      </c>
      <c r="G27">
        <v>336</v>
      </c>
    </row>
    <row r="28" spans="1:7">
      <c r="A28" t="s">
        <v>32</v>
      </c>
      <c r="B28" t="s">
        <v>626</v>
      </c>
      <c r="C28">
        <v>672</v>
      </c>
      <c r="D28">
        <v>3008</v>
      </c>
      <c r="E28" s="10">
        <f>IF(D28&gt;0,C28/D28,0)</f>
        <v>0.22340549315986902</v>
      </c>
      <c r="F28">
        <v>42</v>
      </c>
      <c r="G28">
        <v>336</v>
      </c>
    </row>
    <row r="29" spans="1:7">
      <c r="A29" t="s">
        <v>33</v>
      </c>
      <c r="B29" t="s">
        <v>624</v>
      </c>
      <c r="C29">
        <v>144</v>
      </c>
      <c r="D29">
        <v>2557</v>
      </c>
      <c r="E29" s="10">
        <f>IF(D29&gt;0,C29/D29,0)</f>
        <v>0.05631599530700039</v>
      </c>
      <c r="F29">
        <v>24</v>
      </c>
      <c r="G29">
        <v>192</v>
      </c>
    </row>
    <row r="30" spans="1:7">
      <c r="A30" t="s">
        <v>33</v>
      </c>
      <c r="B30" t="s">
        <v>625</v>
      </c>
      <c r="C30">
        <v>256</v>
      </c>
      <c r="D30">
        <v>2385</v>
      </c>
      <c r="E30" s="10">
        <f>IF(D30&gt;0,C30/D30,0)</f>
        <v>0.10732383070248988</v>
      </c>
      <c r="F30">
        <v>39</v>
      </c>
      <c r="G30">
        <v>312</v>
      </c>
    </row>
    <row r="31" spans="1:7">
      <c r="A31" t="s">
        <v>33</v>
      </c>
      <c r="B31" t="s">
        <v>626</v>
      </c>
      <c r="C31">
        <v>332</v>
      </c>
      <c r="D31">
        <v>2426</v>
      </c>
      <c r="E31" s="10">
        <f>IF(D31&gt;0,C31/D31,0)</f>
        <v>0.13699025325063363</v>
      </c>
      <c r="F31">
        <v>42</v>
      </c>
      <c r="G31">
        <v>336</v>
      </c>
    </row>
    <row r="32" spans="1:7">
      <c r="A32" t="s">
        <v>627</v>
      </c>
      <c r="B32" t="s">
        <v>624</v>
      </c>
      <c r="C32">
        <v>59</v>
      </c>
      <c r="D32">
        <v>638</v>
      </c>
      <c r="E32" s="10">
        <f>IF(D32&gt;0,C32/D32,0)</f>
        <v>0.09308570149921683</v>
      </c>
      <c r="F32">
        <v>20</v>
      </c>
      <c r="G32">
        <v>160</v>
      </c>
    </row>
    <row r="33" spans="1:7">
      <c r="A33" t="s">
        <v>627</v>
      </c>
      <c r="B33" t="s">
        <v>625</v>
      </c>
      <c r="C33">
        <v>102</v>
      </c>
      <c r="D33">
        <v>952</v>
      </c>
      <c r="E33" s="10">
        <f>IF(D33&gt;0,C33/D33,0)</f>
        <v>0.10671052030514823</v>
      </c>
      <c r="F33">
        <v>24</v>
      </c>
      <c r="G33">
        <v>192</v>
      </c>
    </row>
    <row r="34" spans="1:7">
      <c r="A34" t="s">
        <v>627</v>
      </c>
      <c r="B34" t="s">
        <v>626</v>
      </c>
      <c r="C34">
        <v>157</v>
      </c>
      <c r="D34">
        <v>849</v>
      </c>
      <c r="E34" s="10">
        <f>IF(D34&gt;0,C34/D34,0)</f>
        <v>0.18491751767478395</v>
      </c>
      <c r="F34">
        <v>39</v>
      </c>
      <c r="G34">
        <v>312</v>
      </c>
    </row>
    <row r="35" spans="1:7">
      <c r="A35" t="s">
        <v>628</v>
      </c>
      <c r="B35" t="s">
        <v>624</v>
      </c>
      <c r="C35">
        <v>139</v>
      </c>
      <c r="D35">
        <v>2128</v>
      </c>
      <c r="E35" s="10">
        <f>IF(D35&gt;0,C35/D35,0)</f>
        <v>0.06551654695576291</v>
      </c>
      <c r="F35">
        <v>24</v>
      </c>
      <c r="G35">
        <v>192</v>
      </c>
    </row>
    <row r="36" spans="1:7">
      <c r="A36" t="s">
        <v>628</v>
      </c>
      <c r="B36" t="s">
        <v>625</v>
      </c>
      <c r="C36">
        <v>246</v>
      </c>
      <c r="D36">
        <v>2007</v>
      </c>
      <c r="E36" s="10">
        <f>IF(D36&gt;0,C36/D36,0)</f>
        <v>0.12255156872941585</v>
      </c>
      <c r="F36">
        <v>36</v>
      </c>
      <c r="G36">
        <v>288</v>
      </c>
    </row>
    <row r="37" spans="1:7">
      <c r="A37" t="s">
        <v>628</v>
      </c>
      <c r="B37" t="s">
        <v>626</v>
      </c>
      <c r="C37">
        <v>328</v>
      </c>
      <c r="D37">
        <v>2059</v>
      </c>
      <c r="E37" s="10">
        <f>IF(D37&gt;0,C37/D37,0)</f>
        <v>0.1593251349972879</v>
      </c>
      <c r="F37">
        <v>42</v>
      </c>
      <c r="G37">
        <v>336</v>
      </c>
    </row>
    <row r="38" spans="1:7">
      <c r="A38" t="s">
        <v>629</v>
      </c>
      <c r="B38" t="s">
        <v>624</v>
      </c>
      <c r="C38">
        <v>279</v>
      </c>
      <c r="D38">
        <v>4490</v>
      </c>
      <c r="E38" s="10">
        <f>IF(D38&gt;0,C38/D38,0)</f>
        <v>0.06210626789691377</v>
      </c>
      <c r="F38">
        <v>20</v>
      </c>
      <c r="G38">
        <v>160</v>
      </c>
    </row>
    <row r="39" spans="1:7">
      <c r="A39" t="s">
        <v>629</v>
      </c>
      <c r="B39" t="s">
        <v>625</v>
      </c>
      <c r="C39">
        <v>580</v>
      </c>
      <c r="D39">
        <v>4576</v>
      </c>
      <c r="E39" s="10">
        <f>IF(D39&gt;0,C39/D39,0)</f>
        <v>0.12679348549058359</v>
      </c>
      <c r="F39">
        <v>42</v>
      </c>
      <c r="G39">
        <v>336</v>
      </c>
    </row>
    <row r="40" spans="1:7">
      <c r="A40" t="s">
        <v>629</v>
      </c>
      <c r="B40" t="s">
        <v>626</v>
      </c>
      <c r="C40">
        <v>672</v>
      </c>
      <c r="D40">
        <v>3158</v>
      </c>
      <c r="E40" s="10">
        <f>IF(D40&gt;0,C40/D40,0)</f>
        <v>0.212794029945271</v>
      </c>
      <c r="F40">
        <v>42</v>
      </c>
      <c r="G40">
        <v>336</v>
      </c>
    </row>
    <row r="41" spans="1:7">
      <c r="A41" s="3" t="s">
        <v>630</v>
      </c>
    </row>
    <row r="44" spans="1:7">
      <c r="A44" s="5" t="s">
        <v>20</v>
      </c>
      <c r="B44" s="5" t="s">
        <v>631</v>
      </c>
      <c r="C44" s="5" t="s">
        <v>632</v>
      </c>
      <c r="D44" s="5" t="s">
        <v>633</v>
      </c>
      <c r="E44" s="5" t="s">
        <v>634</v>
      </c>
      <c r="F44" s="5" t="s">
        <v>635</v>
      </c>
      <c r="G44" s="5" t="s">
        <v>636</v>
      </c>
    </row>
    <row r="45" spans="1:7">
      <c r="A45" t="s">
        <v>29</v>
      </c>
      <c r="B45">
        <v>6</v>
      </c>
      <c r="C45">
        <v>15</v>
      </c>
      <c r="D45" t="s">
        <v>637</v>
      </c>
      <c r="E45" t="s">
        <v>637</v>
      </c>
      <c r="F45" t="s">
        <v>637</v>
      </c>
      <c r="G45" t="s">
        <v>638</v>
      </c>
    </row>
    <row r="46" spans="1:7">
      <c r="A46" t="s">
        <v>30</v>
      </c>
      <c r="B46">
        <v>7</v>
      </c>
      <c r="C46">
        <v>10</v>
      </c>
      <c r="D46">
        <v>50</v>
      </c>
      <c r="E46">
        <v>78</v>
      </c>
      <c r="F46" t="s">
        <v>637</v>
      </c>
      <c r="G46" t="s">
        <v>639</v>
      </c>
    </row>
    <row r="47" spans="1:7">
      <c r="A47" t="s">
        <v>31</v>
      </c>
      <c r="B47">
        <v>3</v>
      </c>
      <c r="C47">
        <v>5</v>
      </c>
      <c r="D47">
        <v>22</v>
      </c>
      <c r="E47">
        <v>36</v>
      </c>
      <c r="F47">
        <v>44</v>
      </c>
      <c r="G47" t="s">
        <v>640</v>
      </c>
    </row>
    <row r="48" spans="1:7">
      <c r="A48" t="s">
        <v>32</v>
      </c>
      <c r="B48">
        <v>2</v>
      </c>
      <c r="C48">
        <v>3</v>
      </c>
      <c r="D48">
        <v>11</v>
      </c>
      <c r="E48">
        <v>18</v>
      </c>
      <c r="F48">
        <v>22</v>
      </c>
      <c r="G48" t="s">
        <v>641</v>
      </c>
    </row>
    <row r="49" spans="1:7">
      <c r="A49" t="s">
        <v>33</v>
      </c>
      <c r="B49">
        <v>3</v>
      </c>
      <c r="C49">
        <v>4</v>
      </c>
      <c r="D49">
        <v>20</v>
      </c>
      <c r="E49">
        <v>29</v>
      </c>
      <c r="F49">
        <v>39</v>
      </c>
      <c r="G49" t="s">
        <v>642</v>
      </c>
    </row>
    <row r="50" spans="1:7">
      <c r="A50" t="s">
        <v>627</v>
      </c>
      <c r="B50">
        <v>7</v>
      </c>
      <c r="C50">
        <v>10</v>
      </c>
      <c r="D50">
        <v>50</v>
      </c>
      <c r="E50">
        <v>78</v>
      </c>
      <c r="F50">
        <v>101</v>
      </c>
      <c r="G50" t="s">
        <v>639</v>
      </c>
    </row>
    <row r="51" spans="1:7">
      <c r="A51" t="s">
        <v>628</v>
      </c>
      <c r="B51">
        <v>3</v>
      </c>
      <c r="C51">
        <v>5</v>
      </c>
      <c r="D51">
        <v>22</v>
      </c>
      <c r="E51">
        <v>36</v>
      </c>
      <c r="F51">
        <v>44</v>
      </c>
      <c r="G51" t="s">
        <v>640</v>
      </c>
    </row>
    <row r="52" spans="1:7">
      <c r="A52" t="s">
        <v>629</v>
      </c>
      <c r="B52">
        <v>2</v>
      </c>
      <c r="C52">
        <v>3</v>
      </c>
      <c r="D52">
        <v>11</v>
      </c>
      <c r="E52">
        <v>18</v>
      </c>
      <c r="F52">
        <v>22</v>
      </c>
      <c r="G52" t="s">
        <v>641</v>
      </c>
    </row>
  </sheetData>
  <mergeCells count="1">
    <mergeCell ref="A12:G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6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3.7109375" customWidth="1"/>
    <col min="2" max="4" width="22.7109375" customWidth="1"/>
    <col min="5" max="5" width="34.7109375" customWidth="1"/>
    <col min="6" max="9" width="22.7109375" customWidth="1"/>
    <col min="10" max="10" width="24.7109375" customWidth="1"/>
  </cols>
  <sheetData>
    <row r="1" spans="1:7" ht="32" customHeight="1">
      <c r="A1" s="5" t="s">
        <v>20</v>
      </c>
      <c r="B1" s="5" t="s">
        <v>21</v>
      </c>
      <c r="C1" s="5" t="s">
        <v>24</v>
      </c>
      <c r="D1" s="5" t="s">
        <v>25</v>
      </c>
      <c r="E1" s="5" t="s">
        <v>643</v>
      </c>
      <c r="F1" s="5" t="s">
        <v>558</v>
      </c>
      <c r="G1" s="5" t="s">
        <v>559</v>
      </c>
    </row>
    <row r="2" spans="1:7">
      <c r="A2" t="s">
        <v>627</v>
      </c>
      <c r="B2">
        <v>1</v>
      </c>
      <c r="C2">
        <v>1409</v>
      </c>
      <c r="D2">
        <v>85</v>
      </c>
      <c r="F2">
        <v>0</v>
      </c>
      <c r="G2">
        <v>16</v>
      </c>
    </row>
    <row r="3" spans="1:7">
      <c r="A3" t="s">
        <v>627</v>
      </c>
      <c r="B3">
        <v>7</v>
      </c>
      <c r="C3">
        <v>5385</v>
      </c>
      <c r="D3">
        <v>133</v>
      </c>
      <c r="F3">
        <v>1</v>
      </c>
      <c r="G3">
        <v>20</v>
      </c>
    </row>
    <row r="4" spans="1:7">
      <c r="A4" t="s">
        <v>627</v>
      </c>
      <c r="B4">
        <v>30</v>
      </c>
      <c r="C4">
        <v>29612</v>
      </c>
      <c r="D4">
        <v>460</v>
      </c>
      <c r="F4">
        <v>2</v>
      </c>
      <c r="G4">
        <v>24</v>
      </c>
    </row>
    <row r="5" spans="1:7">
      <c r="A5" t="s">
        <v>627</v>
      </c>
      <c r="B5">
        <v>90</v>
      </c>
      <c r="C5">
        <v>89948</v>
      </c>
      <c r="D5">
        <v>1041</v>
      </c>
      <c r="F5">
        <v>4</v>
      </c>
      <c r="G5">
        <v>39</v>
      </c>
    </row>
    <row r="6" spans="1:7">
      <c r="A6" t="s">
        <v>627</v>
      </c>
      <c r="B6">
        <v>180</v>
      </c>
      <c r="C6">
        <v>185268</v>
      </c>
      <c r="D6">
        <v>1864</v>
      </c>
      <c r="F6">
        <v>5</v>
      </c>
      <c r="G6">
        <v>42</v>
      </c>
    </row>
    <row r="7" spans="1:7">
      <c r="A7" t="s">
        <v>627</v>
      </c>
      <c r="B7">
        <v>365</v>
      </c>
      <c r="C7">
        <v>333325</v>
      </c>
      <c r="D7">
        <v>3234</v>
      </c>
      <c r="E7">
        <v>627</v>
      </c>
      <c r="F7">
        <v>5</v>
      </c>
      <c r="G7">
        <v>42</v>
      </c>
    </row>
    <row r="8" spans="1:7">
      <c r="A8" t="s">
        <v>628</v>
      </c>
      <c r="B8">
        <v>1</v>
      </c>
      <c r="C8">
        <v>1540</v>
      </c>
      <c r="D8">
        <v>82</v>
      </c>
      <c r="F8">
        <v>0</v>
      </c>
      <c r="G8">
        <v>18</v>
      </c>
    </row>
    <row r="9" spans="1:7">
      <c r="A9" t="s">
        <v>628</v>
      </c>
      <c r="B9">
        <v>7</v>
      </c>
      <c r="C9">
        <v>16373</v>
      </c>
      <c r="D9">
        <v>270</v>
      </c>
      <c r="F9">
        <v>2</v>
      </c>
      <c r="G9">
        <v>24</v>
      </c>
    </row>
    <row r="10" spans="1:7">
      <c r="A10" t="s">
        <v>628</v>
      </c>
      <c r="B10">
        <v>30</v>
      </c>
      <c r="C10">
        <v>68181</v>
      </c>
      <c r="D10">
        <v>720</v>
      </c>
      <c r="F10">
        <v>3</v>
      </c>
      <c r="G10">
        <v>36</v>
      </c>
    </row>
    <row r="11" spans="1:7">
      <c r="A11" t="s">
        <v>628</v>
      </c>
      <c r="B11">
        <v>90</v>
      </c>
      <c r="C11">
        <v>211382</v>
      </c>
      <c r="D11">
        <v>1677</v>
      </c>
      <c r="F11">
        <v>5</v>
      </c>
      <c r="G11">
        <v>42</v>
      </c>
    </row>
    <row r="12" spans="1:7">
      <c r="A12" t="s">
        <v>628</v>
      </c>
      <c r="B12">
        <v>180</v>
      </c>
      <c r="C12">
        <v>354326</v>
      </c>
      <c r="D12">
        <v>2723</v>
      </c>
      <c r="F12">
        <v>5</v>
      </c>
      <c r="G12">
        <v>42</v>
      </c>
    </row>
    <row r="13" spans="1:7">
      <c r="A13" t="s">
        <v>628</v>
      </c>
      <c r="B13">
        <v>365</v>
      </c>
      <c r="C13">
        <v>640538</v>
      </c>
      <c r="D13">
        <v>4804</v>
      </c>
      <c r="E13">
        <v>0</v>
      </c>
      <c r="F13">
        <v>5</v>
      </c>
      <c r="G13">
        <v>42</v>
      </c>
    </row>
    <row r="14" spans="1:7">
      <c r="A14" t="s">
        <v>629</v>
      </c>
      <c r="B14">
        <v>1</v>
      </c>
      <c r="C14">
        <v>3995</v>
      </c>
      <c r="D14">
        <v>104</v>
      </c>
      <c r="F14">
        <v>0</v>
      </c>
      <c r="G14">
        <v>16</v>
      </c>
    </row>
    <row r="15" spans="1:7">
      <c r="A15" t="s">
        <v>629</v>
      </c>
      <c r="B15">
        <v>7</v>
      </c>
      <c r="C15">
        <v>33882</v>
      </c>
      <c r="D15">
        <v>455</v>
      </c>
      <c r="F15">
        <v>2</v>
      </c>
      <c r="G15">
        <v>20</v>
      </c>
    </row>
    <row r="16" spans="1:7">
      <c r="A16" t="s">
        <v>629</v>
      </c>
      <c r="B16">
        <v>30</v>
      </c>
      <c r="C16">
        <v>152468</v>
      </c>
      <c r="D16">
        <v>1179</v>
      </c>
      <c r="F16">
        <v>5</v>
      </c>
      <c r="G16">
        <v>42</v>
      </c>
    </row>
    <row r="17" spans="1:7">
      <c r="A17" t="s">
        <v>629</v>
      </c>
      <c r="B17">
        <v>90</v>
      </c>
      <c r="C17">
        <v>382267</v>
      </c>
      <c r="D17">
        <v>2365</v>
      </c>
      <c r="F17">
        <v>5</v>
      </c>
      <c r="G17">
        <v>42</v>
      </c>
    </row>
    <row r="18" spans="1:7">
      <c r="A18" t="s">
        <v>629</v>
      </c>
      <c r="B18">
        <v>180</v>
      </c>
      <c r="C18">
        <v>691862</v>
      </c>
      <c r="D18">
        <v>4057</v>
      </c>
      <c r="F18">
        <v>5</v>
      </c>
      <c r="G18">
        <v>42</v>
      </c>
    </row>
    <row r="19" spans="1:7">
      <c r="A19" t="s">
        <v>629</v>
      </c>
      <c r="B19">
        <v>365</v>
      </c>
      <c r="C19">
        <v>1326338</v>
      </c>
      <c r="D19">
        <v>7494</v>
      </c>
      <c r="E19">
        <v>2190</v>
      </c>
      <c r="F19">
        <v>5</v>
      </c>
      <c r="G19">
        <v>42</v>
      </c>
    </row>
    <row r="22" spans="1:7">
      <c r="A22" s="5" t="s">
        <v>20</v>
      </c>
      <c r="B22" s="5" t="s">
        <v>61</v>
      </c>
      <c r="C22" s="5" t="s">
        <v>35</v>
      </c>
      <c r="D22" s="5" t="s">
        <v>62</v>
      </c>
      <c r="E22" s="5" t="s">
        <v>644</v>
      </c>
      <c r="F22" s="5" t="s">
        <v>645</v>
      </c>
    </row>
    <row r="23" spans="1:7">
      <c r="A23" t="s">
        <v>627</v>
      </c>
      <c r="B23" t="s">
        <v>646</v>
      </c>
      <c r="C23" t="s">
        <v>76</v>
      </c>
      <c r="D23" s="11">
        <v>200</v>
      </c>
      <c r="E23">
        <v>12</v>
      </c>
      <c r="F23">
        <v>14</v>
      </c>
    </row>
    <row r="24" spans="1:7">
      <c r="A24" t="s">
        <v>627</v>
      </c>
      <c r="B24" t="s">
        <v>647</v>
      </c>
      <c r="C24" t="s">
        <v>76</v>
      </c>
      <c r="D24" s="11">
        <v>600</v>
      </c>
      <c r="E24">
        <v>42</v>
      </c>
      <c r="F24">
        <v>61</v>
      </c>
    </row>
    <row r="25" spans="1:7">
      <c r="A25" t="s">
        <v>627</v>
      </c>
      <c r="B25" t="s">
        <v>648</v>
      </c>
      <c r="C25" t="s">
        <v>76</v>
      </c>
      <c r="D25" s="11">
        <v>700</v>
      </c>
      <c r="E25">
        <v>49</v>
      </c>
      <c r="F25">
        <v>73</v>
      </c>
    </row>
    <row r="26" spans="1:7">
      <c r="A26" t="s">
        <v>627</v>
      </c>
      <c r="B26" t="s">
        <v>649</v>
      </c>
      <c r="C26" t="s">
        <v>76</v>
      </c>
      <c r="D26" s="11">
        <v>1700</v>
      </c>
      <c r="E26">
        <v>162</v>
      </c>
      <c r="F26">
        <v>224</v>
      </c>
    </row>
    <row r="27" spans="1:7">
      <c r="A27" t="s">
        <v>627</v>
      </c>
      <c r="B27" t="s">
        <v>650</v>
      </c>
      <c r="C27" t="s">
        <v>76</v>
      </c>
      <c r="D27" s="11">
        <v>2300</v>
      </c>
      <c r="E27">
        <v>231</v>
      </c>
      <c r="F27">
        <v>336</v>
      </c>
    </row>
    <row r="28" spans="1:7">
      <c r="A28" t="s">
        <v>627</v>
      </c>
      <c r="B28" t="s">
        <v>70</v>
      </c>
      <c r="C28" t="s">
        <v>71</v>
      </c>
      <c r="D28" s="11">
        <v>800</v>
      </c>
      <c r="E28">
        <v>1</v>
      </c>
      <c r="F28">
        <v>1</v>
      </c>
    </row>
    <row r="29" spans="1:7">
      <c r="A29" t="s">
        <v>627</v>
      </c>
      <c r="B29" t="s">
        <v>651</v>
      </c>
      <c r="C29" t="s">
        <v>71</v>
      </c>
      <c r="D29" s="11">
        <v>1200</v>
      </c>
      <c r="E29">
        <v>1</v>
      </c>
      <c r="F29">
        <v>3</v>
      </c>
    </row>
    <row r="30" spans="1:7">
      <c r="A30" t="s">
        <v>627</v>
      </c>
      <c r="B30" t="s">
        <v>652</v>
      </c>
      <c r="C30" t="s">
        <v>71</v>
      </c>
      <c r="D30" s="11">
        <v>7500</v>
      </c>
      <c r="E30">
        <v>10</v>
      </c>
      <c r="F30">
        <v>19</v>
      </c>
    </row>
    <row r="31" spans="1:7">
      <c r="A31" t="s">
        <v>627</v>
      </c>
      <c r="B31" t="s">
        <v>653</v>
      </c>
      <c r="C31" t="s">
        <v>71</v>
      </c>
      <c r="D31" s="11">
        <v>35600</v>
      </c>
      <c r="E31">
        <v>35</v>
      </c>
      <c r="F31">
        <v>89</v>
      </c>
    </row>
    <row r="32" spans="1:7">
      <c r="A32" t="s">
        <v>628</v>
      </c>
      <c r="B32" t="s">
        <v>646</v>
      </c>
      <c r="C32" t="s">
        <v>76</v>
      </c>
      <c r="D32" s="11">
        <v>200</v>
      </c>
      <c r="E32">
        <v>5</v>
      </c>
      <c r="F32">
        <v>7</v>
      </c>
    </row>
    <row r="33" spans="1:6">
      <c r="A33" t="s">
        <v>628</v>
      </c>
      <c r="B33" t="s">
        <v>647</v>
      </c>
      <c r="C33" t="s">
        <v>76</v>
      </c>
      <c r="D33" s="11">
        <v>600</v>
      </c>
      <c r="E33">
        <v>22</v>
      </c>
      <c r="F33">
        <v>32</v>
      </c>
    </row>
    <row r="34" spans="1:6">
      <c r="A34" t="s">
        <v>628</v>
      </c>
      <c r="B34" t="s">
        <v>648</v>
      </c>
      <c r="C34" t="s">
        <v>76</v>
      </c>
      <c r="D34" s="11">
        <v>700</v>
      </c>
      <c r="E34">
        <v>28</v>
      </c>
      <c r="F34">
        <v>40</v>
      </c>
    </row>
    <row r="35" spans="1:6">
      <c r="A35" t="s">
        <v>628</v>
      </c>
      <c r="B35" t="s">
        <v>649</v>
      </c>
      <c r="C35" t="s">
        <v>76</v>
      </c>
      <c r="D35" s="11">
        <v>1700</v>
      </c>
      <c r="E35">
        <v>91</v>
      </c>
      <c r="F35">
        <v>138</v>
      </c>
    </row>
    <row r="36" spans="1:6">
      <c r="A36" t="s">
        <v>628</v>
      </c>
      <c r="B36" t="s">
        <v>650</v>
      </c>
      <c r="C36" t="s">
        <v>76</v>
      </c>
      <c r="D36" s="11">
        <v>2300</v>
      </c>
      <c r="E36">
        <v>143</v>
      </c>
      <c r="F36">
        <v>210</v>
      </c>
    </row>
    <row r="37" spans="1:6">
      <c r="A37" t="s">
        <v>628</v>
      </c>
      <c r="B37" t="s">
        <v>70</v>
      </c>
      <c r="C37" t="s">
        <v>71</v>
      </c>
      <c r="D37" s="11">
        <v>800</v>
      </c>
      <c r="E37">
        <v>1</v>
      </c>
      <c r="F37">
        <v>1</v>
      </c>
    </row>
    <row r="38" spans="1:6">
      <c r="A38" t="s">
        <v>628</v>
      </c>
      <c r="B38" t="s">
        <v>651</v>
      </c>
      <c r="C38" t="s">
        <v>71</v>
      </c>
      <c r="D38" s="11">
        <v>1200</v>
      </c>
      <c r="E38">
        <v>1</v>
      </c>
      <c r="F38">
        <v>2</v>
      </c>
    </row>
    <row r="39" spans="1:6">
      <c r="A39" t="s">
        <v>628</v>
      </c>
      <c r="B39" t="s">
        <v>652</v>
      </c>
      <c r="C39" t="s">
        <v>71</v>
      </c>
      <c r="D39" s="11">
        <v>7500</v>
      </c>
      <c r="E39">
        <v>4</v>
      </c>
      <c r="F39">
        <v>8</v>
      </c>
    </row>
    <row r="40" spans="1:6">
      <c r="A40" t="s">
        <v>628</v>
      </c>
      <c r="B40" t="s">
        <v>653</v>
      </c>
      <c r="C40" t="s">
        <v>71</v>
      </c>
      <c r="D40" s="11">
        <v>35600</v>
      </c>
      <c r="E40">
        <v>16</v>
      </c>
      <c r="F40">
        <v>38</v>
      </c>
    </row>
    <row r="41" spans="1:6">
      <c r="A41" t="s">
        <v>629</v>
      </c>
      <c r="B41" t="s">
        <v>646</v>
      </c>
      <c r="C41" t="s">
        <v>76</v>
      </c>
      <c r="D41" s="11">
        <v>200</v>
      </c>
      <c r="E41">
        <v>3</v>
      </c>
      <c r="F41">
        <v>4</v>
      </c>
    </row>
    <row r="42" spans="1:6">
      <c r="A42" t="s">
        <v>629</v>
      </c>
      <c r="B42" t="s">
        <v>647</v>
      </c>
      <c r="C42" t="s">
        <v>76</v>
      </c>
      <c r="D42" s="11">
        <v>600</v>
      </c>
      <c r="E42">
        <v>12</v>
      </c>
      <c r="F42">
        <v>17</v>
      </c>
    </row>
    <row r="43" spans="1:6">
      <c r="A43" t="s">
        <v>629</v>
      </c>
      <c r="B43" t="s">
        <v>648</v>
      </c>
      <c r="C43" t="s">
        <v>76</v>
      </c>
      <c r="D43" s="11">
        <v>700</v>
      </c>
      <c r="E43">
        <v>15</v>
      </c>
      <c r="F43">
        <v>22</v>
      </c>
    </row>
    <row r="44" spans="1:6">
      <c r="A44" t="s">
        <v>629</v>
      </c>
      <c r="B44" t="s">
        <v>649</v>
      </c>
      <c r="C44" t="s">
        <v>76</v>
      </c>
      <c r="D44" s="11">
        <v>1700</v>
      </c>
      <c r="E44">
        <v>55</v>
      </c>
      <c r="F44">
        <v>84</v>
      </c>
    </row>
    <row r="45" spans="1:6">
      <c r="A45" t="s">
        <v>629</v>
      </c>
      <c r="B45" t="s">
        <v>650</v>
      </c>
      <c r="C45" t="s">
        <v>76</v>
      </c>
      <c r="D45" s="11">
        <v>2300</v>
      </c>
      <c r="E45">
        <v>86</v>
      </c>
      <c r="F45">
        <v>126</v>
      </c>
    </row>
    <row r="46" spans="1:6">
      <c r="A46" t="s">
        <v>629</v>
      </c>
      <c r="B46" t="s">
        <v>70</v>
      </c>
      <c r="C46" t="s">
        <v>71</v>
      </c>
      <c r="D46" s="11">
        <v>800</v>
      </c>
      <c r="E46">
        <v>1</v>
      </c>
      <c r="F46">
        <v>1</v>
      </c>
    </row>
    <row r="47" spans="1:6">
      <c r="A47" t="s">
        <v>629</v>
      </c>
      <c r="B47" t="s">
        <v>651</v>
      </c>
      <c r="C47" t="s">
        <v>71</v>
      </c>
      <c r="D47" s="11">
        <v>1200</v>
      </c>
      <c r="E47">
        <v>1</v>
      </c>
      <c r="F47">
        <v>1</v>
      </c>
    </row>
    <row r="48" spans="1:6">
      <c r="A48" t="s">
        <v>629</v>
      </c>
      <c r="B48" t="s">
        <v>652</v>
      </c>
      <c r="C48" t="s">
        <v>71</v>
      </c>
      <c r="D48" s="11">
        <v>7500</v>
      </c>
      <c r="E48">
        <v>2</v>
      </c>
      <c r="F48">
        <v>4</v>
      </c>
    </row>
    <row r="49" spans="1:10">
      <c r="A49" t="s">
        <v>629</v>
      </c>
      <c r="B49" t="s">
        <v>653</v>
      </c>
      <c r="C49" t="s">
        <v>71</v>
      </c>
      <c r="D49" s="11">
        <v>35600</v>
      </c>
      <c r="E49">
        <v>8</v>
      </c>
      <c r="F49">
        <v>19</v>
      </c>
    </row>
    <row r="50" spans="1:10">
      <c r="A50" s="3" t="s">
        <v>654</v>
      </c>
    </row>
    <row r="53" spans="1:10">
      <c r="A53" s="5" t="s">
        <v>655</v>
      </c>
      <c r="B53" s="5" t="s">
        <v>20</v>
      </c>
      <c r="C53" s="5" t="s">
        <v>656</v>
      </c>
      <c r="D53" s="5" t="s">
        <v>657</v>
      </c>
      <c r="E53" s="5" t="s">
        <v>658</v>
      </c>
      <c r="F53" s="5" t="s">
        <v>659</v>
      </c>
      <c r="G53" s="5" t="s">
        <v>660</v>
      </c>
      <c r="H53" s="5" t="s">
        <v>661</v>
      </c>
      <c r="I53" s="5" t="s">
        <v>662</v>
      </c>
      <c r="J53" s="5" t="s">
        <v>663</v>
      </c>
    </row>
    <row r="54" spans="1:10">
      <c r="A54">
        <v>1</v>
      </c>
      <c r="B54" t="s">
        <v>627</v>
      </c>
      <c r="C54">
        <v>1</v>
      </c>
      <c r="D54">
        <v>123</v>
      </c>
      <c r="E54">
        <v>460</v>
      </c>
      <c r="F54">
        <v>1041</v>
      </c>
      <c r="G54">
        <v>153</v>
      </c>
      <c r="H54">
        <v>42</v>
      </c>
      <c r="I54">
        <v>12</v>
      </c>
      <c r="J54">
        <v>162</v>
      </c>
    </row>
    <row r="55" spans="1:10">
      <c r="A55">
        <v>1</v>
      </c>
      <c r="B55" t="s">
        <v>629</v>
      </c>
      <c r="C55">
        <v>1</v>
      </c>
      <c r="D55">
        <v>123</v>
      </c>
      <c r="E55">
        <v>1089</v>
      </c>
      <c r="F55">
        <v>2095</v>
      </c>
      <c r="G55">
        <v>270</v>
      </c>
      <c r="H55">
        <v>14</v>
      </c>
      <c r="I55">
        <v>3</v>
      </c>
      <c r="J55">
        <v>64</v>
      </c>
    </row>
    <row r="56" spans="1:10">
      <c r="A56">
        <v>2</v>
      </c>
      <c r="B56" t="s">
        <v>627</v>
      </c>
      <c r="C56">
        <v>1</v>
      </c>
      <c r="D56">
        <v>144</v>
      </c>
      <c r="E56">
        <v>460</v>
      </c>
      <c r="F56">
        <v>1041</v>
      </c>
      <c r="G56">
        <v>153</v>
      </c>
      <c r="H56">
        <v>42</v>
      </c>
      <c r="I56">
        <v>12</v>
      </c>
      <c r="J56">
        <v>162</v>
      </c>
    </row>
    <row r="57" spans="1:10">
      <c r="A57">
        <v>2</v>
      </c>
      <c r="B57" t="s">
        <v>629</v>
      </c>
      <c r="C57">
        <v>2</v>
      </c>
      <c r="D57">
        <v>144</v>
      </c>
      <c r="E57">
        <v>1179</v>
      </c>
      <c r="F57">
        <v>2365</v>
      </c>
      <c r="G57">
        <v>540</v>
      </c>
      <c r="H57">
        <v>12</v>
      </c>
      <c r="I57">
        <v>3</v>
      </c>
      <c r="J57">
        <v>55</v>
      </c>
    </row>
    <row r="58" spans="1:10">
      <c r="A58">
        <v>3</v>
      </c>
      <c r="B58" t="s">
        <v>627</v>
      </c>
      <c r="C58">
        <v>1</v>
      </c>
      <c r="D58">
        <v>165</v>
      </c>
      <c r="E58">
        <v>460</v>
      </c>
      <c r="F58">
        <v>1041</v>
      </c>
      <c r="G58">
        <v>153</v>
      </c>
      <c r="H58">
        <v>42</v>
      </c>
      <c r="I58">
        <v>12</v>
      </c>
      <c r="J58">
        <v>162</v>
      </c>
    </row>
    <row r="59" spans="1:10">
      <c r="A59">
        <v>3</v>
      </c>
      <c r="B59" t="s">
        <v>629</v>
      </c>
      <c r="C59">
        <v>3</v>
      </c>
      <c r="D59">
        <v>165</v>
      </c>
      <c r="E59">
        <v>1269</v>
      </c>
      <c r="F59">
        <v>2635</v>
      </c>
      <c r="G59">
        <v>810</v>
      </c>
      <c r="H59">
        <v>10</v>
      </c>
      <c r="I59">
        <v>3</v>
      </c>
      <c r="J59">
        <v>47</v>
      </c>
    </row>
    <row r="61" spans="1:10">
      <c r="A61" s="2" t="s">
        <v>664</v>
      </c>
      <c r="B61" s="2"/>
      <c r="C61" s="2"/>
      <c r="D61" s="2"/>
      <c r="E61" s="2"/>
      <c r="F61" s="2"/>
      <c r="G61" s="2"/>
      <c r="H61" s="2"/>
      <c r="I61" s="2"/>
      <c r="J61" s="2"/>
    </row>
    <row r="62" spans="1:10">
      <c r="A62" s="2"/>
      <c r="B62" s="2"/>
      <c r="C62" s="2"/>
      <c r="D62" s="2"/>
      <c r="E62" s="2"/>
      <c r="F62" s="2"/>
      <c r="G62" s="2"/>
      <c r="H62" s="2"/>
      <c r="I62" s="2"/>
      <c r="J62" s="2"/>
    </row>
    <row r="63" spans="1:10">
      <c r="A63" s="2"/>
      <c r="B63" s="2"/>
      <c r="C63" s="2"/>
      <c r="D63" s="2"/>
      <c r="E63" s="2"/>
      <c r="F63" s="2"/>
      <c r="G63" s="2"/>
      <c r="H63" s="2"/>
      <c r="I63" s="2"/>
      <c r="J63" s="2"/>
    </row>
    <row r="64" spans="1:10">
      <c r="A64" s="2"/>
      <c r="B64" s="2"/>
      <c r="C64" s="2"/>
      <c r="D64" s="2"/>
      <c r="E64" s="2"/>
      <c r="F64" s="2"/>
      <c r="G64" s="2"/>
      <c r="H64" s="2"/>
      <c r="I64" s="2"/>
      <c r="J64" s="2"/>
    </row>
  </sheetData>
  <mergeCells count="1">
    <mergeCell ref="A61:J6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F14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2" width="8.7109375" customWidth="1"/>
    <col min="3" max="3" width="9.7109375" customWidth="1"/>
    <col min="4" max="4" width="18.7109375" customWidth="1"/>
    <col min="5" max="5" width="8.7109375" customWidth="1"/>
    <col min="6" max="6" width="11.7109375" customWidth="1"/>
    <col min="7" max="7" width="9.7109375" customWidth="1"/>
    <col min="8" max="8" width="8.7109375" customWidth="1"/>
    <col min="9" max="9" width="9.7109375" customWidth="1"/>
    <col min="10" max="10" width="6.7109375" customWidth="1"/>
    <col min="11" max="11" width="7.7109375" customWidth="1"/>
    <col min="12" max="12" width="6.7109375" customWidth="1"/>
    <col min="13" max="14" width="11.7109375" customWidth="1"/>
    <col min="15" max="15" width="12.7109375" customWidth="1"/>
    <col min="16" max="16" width="14.7109375" customWidth="1"/>
    <col min="17" max="17" width="16.7109375" customWidth="1"/>
    <col min="18" max="29" width="13.7109375" customWidth="1"/>
    <col min="30" max="37" width="12.7109375" customWidth="1"/>
    <col min="38" max="38" width="18.7109375" customWidth="1"/>
    <col min="39" max="40" width="16.7109375" customWidth="1"/>
    <col min="41" max="43" width="12.7109375" customWidth="1"/>
    <col min="44" max="44" width="14.7109375" customWidth="1"/>
    <col min="45" max="58" width="10.7109375" customWidth="1"/>
  </cols>
  <sheetData>
    <row r="1" spans="1:58" ht="62" customHeight="1">
      <c r="A1" s="5" t="s">
        <v>20</v>
      </c>
      <c r="B1" s="5" t="s">
        <v>665</v>
      </c>
      <c r="C1" s="5" t="s">
        <v>666</v>
      </c>
      <c r="D1" s="5" t="s">
        <v>667</v>
      </c>
      <c r="E1" s="5" t="s">
        <v>668</v>
      </c>
      <c r="F1" s="5" t="s">
        <v>669</v>
      </c>
      <c r="G1" s="5" t="s">
        <v>670</v>
      </c>
      <c r="H1" s="5" t="s">
        <v>671</v>
      </c>
      <c r="I1" s="5" t="s">
        <v>22</v>
      </c>
      <c r="J1" s="5" t="s">
        <v>672</v>
      </c>
      <c r="K1" s="5" t="s">
        <v>673</v>
      </c>
      <c r="L1" s="5" t="s">
        <v>674</v>
      </c>
      <c r="M1" s="5" t="s">
        <v>675</v>
      </c>
      <c r="N1" s="5" t="s">
        <v>676</v>
      </c>
      <c r="O1" s="5" t="s">
        <v>677</v>
      </c>
      <c r="P1" s="5" t="s">
        <v>678</v>
      </c>
      <c r="Q1" s="5" t="s">
        <v>679</v>
      </c>
      <c r="R1" s="5" t="s">
        <v>680</v>
      </c>
      <c r="S1" s="5" t="s">
        <v>681</v>
      </c>
      <c r="T1" s="5" t="s">
        <v>682</v>
      </c>
      <c r="U1" s="5" t="s">
        <v>683</v>
      </c>
      <c r="V1" s="5" t="s">
        <v>684</v>
      </c>
      <c r="W1" s="5" t="s">
        <v>685</v>
      </c>
      <c r="X1" s="5" t="s">
        <v>686</v>
      </c>
      <c r="Y1" s="5" t="s">
        <v>687</v>
      </c>
      <c r="Z1" s="5" t="s">
        <v>688</v>
      </c>
      <c r="AA1" s="5" t="s">
        <v>689</v>
      </c>
      <c r="AB1" s="5" t="s">
        <v>690</v>
      </c>
      <c r="AC1" s="5" t="s">
        <v>691</v>
      </c>
      <c r="AD1" s="5" t="s">
        <v>692</v>
      </c>
      <c r="AE1" s="5" t="s">
        <v>693</v>
      </c>
      <c r="AF1" s="5" t="s">
        <v>694</v>
      </c>
      <c r="AG1" s="5" t="s">
        <v>695</v>
      </c>
      <c r="AH1" s="5" t="s">
        <v>696</v>
      </c>
      <c r="AI1" s="5" t="s">
        <v>697</v>
      </c>
      <c r="AJ1" s="5" t="s">
        <v>698</v>
      </c>
      <c r="AK1" s="5" t="s">
        <v>699</v>
      </c>
      <c r="AL1" s="5" t="s">
        <v>700</v>
      </c>
      <c r="AM1" s="5" t="s">
        <v>701</v>
      </c>
      <c r="AN1" s="5" t="s">
        <v>702</v>
      </c>
      <c r="AO1" s="5" t="s">
        <v>703</v>
      </c>
      <c r="AP1" s="5" t="s">
        <v>704</v>
      </c>
      <c r="AQ1" s="5" t="s">
        <v>705</v>
      </c>
      <c r="AR1" s="5" t="s">
        <v>706</v>
      </c>
      <c r="AS1" s="5" t="s">
        <v>707</v>
      </c>
      <c r="AT1" s="5" t="s">
        <v>708</v>
      </c>
      <c r="AU1" s="5" t="s">
        <v>709</v>
      </c>
      <c r="AV1" s="5" t="s">
        <v>558</v>
      </c>
      <c r="AW1" s="5" t="s">
        <v>710</v>
      </c>
      <c r="AX1" s="5" t="s">
        <v>711</v>
      </c>
      <c r="AY1" s="5" t="s">
        <v>712</v>
      </c>
      <c r="AZ1" s="5" t="s">
        <v>713</v>
      </c>
      <c r="BA1" s="5" t="s">
        <v>714</v>
      </c>
      <c r="BB1" s="5" t="s">
        <v>715</v>
      </c>
      <c r="BC1" s="5" t="s">
        <v>716</v>
      </c>
      <c r="BD1" s="5" t="s">
        <v>717</v>
      </c>
      <c r="BE1" s="5" t="s">
        <v>718</v>
      </c>
      <c r="BF1" s="5" t="s">
        <v>719</v>
      </c>
    </row>
    <row r="2" spans="1:58">
      <c r="A2" t="s">
        <v>720</v>
      </c>
      <c r="B2">
        <v>1</v>
      </c>
      <c r="C2">
        <v>8</v>
      </c>
      <c r="D2" t="s">
        <v>721</v>
      </c>
      <c r="E2">
        <v>5</v>
      </c>
      <c r="F2" t="s">
        <v>722</v>
      </c>
      <c r="G2">
        <v>1</v>
      </c>
      <c r="H2">
        <v>17</v>
      </c>
      <c r="I2">
        <v>15</v>
      </c>
      <c r="J2">
        <v>5</v>
      </c>
      <c r="K2">
        <v>3</v>
      </c>
      <c r="L2">
        <v>7</v>
      </c>
      <c r="M2">
        <v>10933</v>
      </c>
      <c r="N2">
        <v>10104</v>
      </c>
      <c r="O2" s="12">
        <f>M2-N2</f>
        <v>829</v>
      </c>
      <c r="P2">
        <v>1329</v>
      </c>
      <c r="Q2">
        <v>50</v>
      </c>
      <c r="R2">
        <v>1428</v>
      </c>
      <c r="S2">
        <v>0</v>
      </c>
      <c r="T2">
        <v>0</v>
      </c>
      <c r="U2">
        <v>60</v>
      </c>
      <c r="V2">
        <v>0</v>
      </c>
      <c r="W2">
        <v>260</v>
      </c>
      <c r="X2">
        <v>290</v>
      </c>
      <c r="Y2">
        <v>610</v>
      </c>
      <c r="Z2">
        <v>700</v>
      </c>
      <c r="AA2">
        <v>6385</v>
      </c>
      <c r="AB2">
        <v>1200</v>
      </c>
      <c r="AC2">
        <v>0</v>
      </c>
      <c r="AD2">
        <v>5100</v>
      </c>
      <c r="AE2">
        <v>3900</v>
      </c>
      <c r="AF2">
        <v>704</v>
      </c>
      <c r="AG2">
        <v>0</v>
      </c>
      <c r="AH2">
        <v>0</v>
      </c>
      <c r="AI2">
        <v>0</v>
      </c>
      <c r="AJ2">
        <v>400</v>
      </c>
      <c r="AK2">
        <v>0</v>
      </c>
      <c r="AL2" s="12">
        <f>R2+S2+W2+X2</f>
        <v>1978</v>
      </c>
      <c r="AM2" s="13">
        <f>IF(AL2&gt;0,AF2/AL2,0)</f>
        <v>0.35591506572295245</v>
      </c>
      <c r="AN2" s="13">
        <f>IF(M2&gt;0,(AF2+AG2+AJ2+AK2)/M2,0)</f>
        <v>0.10097868837464556</v>
      </c>
      <c r="AO2">
        <v>946</v>
      </c>
      <c r="AP2">
        <v>930</v>
      </c>
      <c r="AQ2">
        <v>0</v>
      </c>
      <c r="AR2">
        <v>0</v>
      </c>
      <c r="AS2">
        <v>44</v>
      </c>
      <c r="AT2">
        <v>39</v>
      </c>
      <c r="AU2">
        <v>21</v>
      </c>
      <c r="AV2">
        <v>2</v>
      </c>
      <c r="AW2">
        <v>4</v>
      </c>
      <c r="AX2">
        <v>7</v>
      </c>
      <c r="AY2">
        <v>134</v>
      </c>
      <c r="AZ2">
        <v>0</v>
      </c>
      <c r="BA2">
        <v>184</v>
      </c>
      <c r="BB2">
        <v>9</v>
      </c>
      <c r="BC2">
        <v>11</v>
      </c>
      <c r="BD2">
        <v>9</v>
      </c>
      <c r="BE2">
        <v>9</v>
      </c>
      <c r="BF2">
        <v>7</v>
      </c>
    </row>
    <row r="3" spans="1:58">
      <c r="A3" t="s">
        <v>720</v>
      </c>
      <c r="B3">
        <v>2</v>
      </c>
      <c r="C3">
        <v>8</v>
      </c>
      <c r="D3" t="s">
        <v>721</v>
      </c>
      <c r="E3">
        <v>2</v>
      </c>
      <c r="F3" t="s">
        <v>723</v>
      </c>
      <c r="G3">
        <v>17</v>
      </c>
      <c r="H3">
        <v>38</v>
      </c>
      <c r="I3">
        <v>17</v>
      </c>
      <c r="J3">
        <v>12</v>
      </c>
      <c r="K3">
        <v>0</v>
      </c>
      <c r="L3">
        <v>5</v>
      </c>
      <c r="M3">
        <v>24239</v>
      </c>
      <c r="N3">
        <v>20848</v>
      </c>
      <c r="O3" s="12">
        <f>M3-N3</f>
        <v>3391</v>
      </c>
      <c r="P3">
        <v>4720</v>
      </c>
      <c r="Q3">
        <v>285</v>
      </c>
      <c r="R3">
        <v>3086</v>
      </c>
      <c r="S3">
        <v>360</v>
      </c>
      <c r="T3">
        <v>90</v>
      </c>
      <c r="U3">
        <v>720</v>
      </c>
      <c r="V3">
        <v>150</v>
      </c>
      <c r="W3">
        <v>410</v>
      </c>
      <c r="X3">
        <v>630</v>
      </c>
      <c r="Y3">
        <v>3970</v>
      </c>
      <c r="Z3">
        <v>1150</v>
      </c>
      <c r="AA3">
        <v>11545</v>
      </c>
      <c r="AB3">
        <v>2128</v>
      </c>
      <c r="AC3">
        <v>0</v>
      </c>
      <c r="AD3">
        <v>17700</v>
      </c>
      <c r="AE3">
        <v>1200</v>
      </c>
      <c r="AF3">
        <v>1348</v>
      </c>
      <c r="AG3">
        <v>0</v>
      </c>
      <c r="AH3">
        <v>0</v>
      </c>
      <c r="AI3">
        <v>0</v>
      </c>
      <c r="AJ3">
        <v>600</v>
      </c>
      <c r="AK3">
        <v>0</v>
      </c>
      <c r="AL3" s="12">
        <f>R3+S3+W3+X3</f>
        <v>4486</v>
      </c>
      <c r="AM3" s="13">
        <f>IF(AL3&gt;0,AF3/AL3,0)</f>
        <v>0.3004904146232724</v>
      </c>
      <c r="AN3" s="13">
        <f>IF(M3&gt;0,(AF3+AG3+AJ3+AK3)/M3,0)</f>
        <v>0.08036635174718429</v>
      </c>
      <c r="AO3">
        <v>975</v>
      </c>
      <c r="AP3">
        <v>980</v>
      </c>
      <c r="AQ3">
        <v>0</v>
      </c>
      <c r="AR3">
        <v>0</v>
      </c>
      <c r="AS3">
        <v>53</v>
      </c>
      <c r="AT3">
        <v>40</v>
      </c>
      <c r="AU3">
        <v>14</v>
      </c>
      <c r="AV3">
        <v>3</v>
      </c>
      <c r="AW3">
        <v>11</v>
      </c>
      <c r="AX3">
        <v>8</v>
      </c>
      <c r="AY3">
        <v>192</v>
      </c>
      <c r="AZ3">
        <v>200</v>
      </c>
      <c r="BA3">
        <v>176</v>
      </c>
      <c r="BB3">
        <v>15</v>
      </c>
      <c r="BC3">
        <v>15</v>
      </c>
      <c r="BD3">
        <v>13</v>
      </c>
      <c r="BE3">
        <v>11</v>
      </c>
      <c r="BF3">
        <v>10</v>
      </c>
    </row>
    <row r="4" spans="1:58">
      <c r="A4" t="s">
        <v>720</v>
      </c>
      <c r="B4">
        <v>3</v>
      </c>
      <c r="C4">
        <v>7</v>
      </c>
      <c r="D4" t="s">
        <v>724</v>
      </c>
      <c r="E4">
        <v>2</v>
      </c>
      <c r="F4" t="s">
        <v>723</v>
      </c>
      <c r="G4">
        <v>38</v>
      </c>
      <c r="H4">
        <v>57</v>
      </c>
      <c r="I4">
        <v>17</v>
      </c>
      <c r="J4">
        <v>8</v>
      </c>
      <c r="K4">
        <v>6</v>
      </c>
      <c r="L4">
        <v>3</v>
      </c>
      <c r="M4">
        <v>21792</v>
      </c>
      <c r="N4">
        <v>16070</v>
      </c>
      <c r="O4" s="12">
        <f>M4-N4</f>
        <v>5722</v>
      </c>
      <c r="P4">
        <v>10442</v>
      </c>
      <c r="Q4">
        <v>833</v>
      </c>
      <c r="R4">
        <v>2869</v>
      </c>
      <c r="S4">
        <v>540</v>
      </c>
      <c r="T4">
        <v>105</v>
      </c>
      <c r="U4">
        <v>720</v>
      </c>
      <c r="V4">
        <v>120</v>
      </c>
      <c r="W4">
        <v>680</v>
      </c>
      <c r="X4">
        <v>630</v>
      </c>
      <c r="Y4">
        <v>2705</v>
      </c>
      <c r="Z4">
        <v>600</v>
      </c>
      <c r="AA4">
        <v>10495</v>
      </c>
      <c r="AB4">
        <v>2328</v>
      </c>
      <c r="AC4">
        <v>0</v>
      </c>
      <c r="AD4">
        <v>12800</v>
      </c>
      <c r="AE4">
        <v>1200</v>
      </c>
      <c r="AF4">
        <v>1690</v>
      </c>
      <c r="AG4">
        <v>0</v>
      </c>
      <c r="AH4">
        <v>0</v>
      </c>
      <c r="AI4">
        <v>0</v>
      </c>
      <c r="AJ4">
        <v>380</v>
      </c>
      <c r="AK4">
        <v>0</v>
      </c>
      <c r="AL4" s="12">
        <f>R4+S4+W4+X4</f>
        <v>4719</v>
      </c>
      <c r="AM4" s="13">
        <f>IF(AL4&gt;0,AF4/AL4,0)</f>
        <v>0.3581267217630854</v>
      </c>
      <c r="AN4" s="13">
        <f>IF(M4&gt;0,(AF4+AG4+AJ4+AK4)/M4,0)</f>
        <v>0.09498898678414097</v>
      </c>
      <c r="AO4">
        <v>1289</v>
      </c>
      <c r="AP4">
        <v>1310</v>
      </c>
      <c r="AQ4">
        <v>0</v>
      </c>
      <c r="AR4">
        <v>0</v>
      </c>
      <c r="AS4">
        <v>59</v>
      </c>
      <c r="AT4">
        <v>43</v>
      </c>
      <c r="AU4">
        <v>15</v>
      </c>
      <c r="AV4">
        <v>5</v>
      </c>
      <c r="AW4">
        <v>13</v>
      </c>
      <c r="AX4">
        <v>9</v>
      </c>
      <c r="AY4">
        <v>153</v>
      </c>
      <c r="AZ4">
        <v>0</v>
      </c>
      <c r="BA4">
        <v>329</v>
      </c>
      <c r="BB4">
        <v>13</v>
      </c>
      <c r="BC4">
        <v>11</v>
      </c>
      <c r="BD4">
        <v>11</v>
      </c>
      <c r="BE4">
        <v>8</v>
      </c>
      <c r="BF4">
        <v>12</v>
      </c>
    </row>
    <row r="5" spans="1:58">
      <c r="A5" t="s">
        <v>720</v>
      </c>
      <c r="B5">
        <v>4</v>
      </c>
      <c r="C5">
        <v>6</v>
      </c>
      <c r="D5" t="s">
        <v>725</v>
      </c>
      <c r="E5">
        <v>1</v>
      </c>
      <c r="F5" t="s">
        <v>723</v>
      </c>
      <c r="G5">
        <v>57</v>
      </c>
      <c r="H5">
        <v>78</v>
      </c>
      <c r="I5">
        <v>17</v>
      </c>
      <c r="J5">
        <v>14</v>
      </c>
      <c r="K5">
        <v>1</v>
      </c>
      <c r="L5">
        <v>2</v>
      </c>
      <c r="M5">
        <v>30985</v>
      </c>
      <c r="N5">
        <v>4202</v>
      </c>
      <c r="O5" s="12">
        <f>M5-N5</f>
        <v>26783</v>
      </c>
      <c r="P5">
        <v>37225</v>
      </c>
      <c r="Q5">
        <v>9179</v>
      </c>
      <c r="R5">
        <v>5029</v>
      </c>
      <c r="S5">
        <v>540</v>
      </c>
      <c r="T5">
        <v>680</v>
      </c>
      <c r="U5">
        <v>1040</v>
      </c>
      <c r="V5">
        <v>645</v>
      </c>
      <c r="W5">
        <v>960</v>
      </c>
      <c r="X5">
        <v>630</v>
      </c>
      <c r="Y5">
        <v>5230</v>
      </c>
      <c r="Z5">
        <v>1400</v>
      </c>
      <c r="AA5">
        <v>12095</v>
      </c>
      <c r="AB5">
        <v>2736</v>
      </c>
      <c r="AC5">
        <v>0</v>
      </c>
      <c r="AD5">
        <v>0</v>
      </c>
      <c r="AE5">
        <v>1500</v>
      </c>
      <c r="AF5">
        <v>1942</v>
      </c>
      <c r="AG5">
        <v>0</v>
      </c>
      <c r="AH5">
        <v>0</v>
      </c>
      <c r="AI5">
        <v>0</v>
      </c>
      <c r="AJ5">
        <v>760</v>
      </c>
      <c r="AK5">
        <v>0</v>
      </c>
      <c r="AL5" s="12">
        <f>R5+S5+W5+X5</f>
        <v>7159</v>
      </c>
      <c r="AM5" s="13">
        <f>IF(AL5&gt;0,AF5/AL5,0)</f>
        <v>0.271266936723006</v>
      </c>
      <c r="AN5" s="13">
        <f>IF(M5&gt;0,(AF5+AG5+AJ5+AK5)/M5,0)</f>
        <v>0.08720348555752784</v>
      </c>
      <c r="AO5">
        <v>1672</v>
      </c>
      <c r="AP5">
        <v>1700</v>
      </c>
      <c r="AQ5">
        <v>0</v>
      </c>
      <c r="AR5">
        <v>0</v>
      </c>
      <c r="AS5">
        <v>67</v>
      </c>
      <c r="AT5">
        <v>48</v>
      </c>
      <c r="AU5">
        <v>15</v>
      </c>
      <c r="AV5">
        <v>5</v>
      </c>
      <c r="AW5">
        <v>13</v>
      </c>
      <c r="AX5">
        <v>10</v>
      </c>
      <c r="AY5">
        <v>224</v>
      </c>
      <c r="AZ5">
        <v>0</v>
      </c>
      <c r="BA5">
        <v>553</v>
      </c>
      <c r="BB5">
        <v>16</v>
      </c>
      <c r="BC5">
        <v>18</v>
      </c>
      <c r="BD5">
        <v>17</v>
      </c>
      <c r="BE5">
        <v>10</v>
      </c>
      <c r="BF5">
        <v>14</v>
      </c>
    </row>
    <row r="6" spans="1:58">
      <c r="A6" t="s">
        <v>720</v>
      </c>
      <c r="B6">
        <v>5</v>
      </c>
      <c r="C6">
        <v>5</v>
      </c>
      <c r="D6" t="s">
        <v>726</v>
      </c>
      <c r="E6">
        <v>4</v>
      </c>
      <c r="F6" t="s">
        <v>722</v>
      </c>
      <c r="G6">
        <v>78</v>
      </c>
      <c r="H6">
        <v>97</v>
      </c>
      <c r="I6">
        <v>17</v>
      </c>
      <c r="J6">
        <v>9</v>
      </c>
      <c r="K6">
        <v>2</v>
      </c>
      <c r="L6">
        <v>6</v>
      </c>
      <c r="M6">
        <v>21156</v>
      </c>
      <c r="N6">
        <v>8422</v>
      </c>
      <c r="O6" s="12">
        <f>M6-N6</f>
        <v>12734</v>
      </c>
      <c r="P6">
        <v>49959</v>
      </c>
      <c r="Q6">
        <v>32554</v>
      </c>
      <c r="R6">
        <v>3893</v>
      </c>
      <c r="S6">
        <v>720</v>
      </c>
      <c r="T6">
        <v>850</v>
      </c>
      <c r="U6">
        <v>120</v>
      </c>
      <c r="V6">
        <v>285</v>
      </c>
      <c r="W6">
        <v>1030</v>
      </c>
      <c r="X6">
        <v>1110</v>
      </c>
      <c r="Y6">
        <v>330</v>
      </c>
      <c r="Z6">
        <v>750</v>
      </c>
      <c r="AA6">
        <v>9380</v>
      </c>
      <c r="AB6">
        <v>2688</v>
      </c>
      <c r="AC6">
        <v>0</v>
      </c>
      <c r="AD6">
        <v>0</v>
      </c>
      <c r="AE6">
        <v>5000</v>
      </c>
      <c r="AF6">
        <v>2512</v>
      </c>
      <c r="AG6">
        <v>0</v>
      </c>
      <c r="AH6">
        <v>0</v>
      </c>
      <c r="AI6">
        <v>0</v>
      </c>
      <c r="AJ6">
        <v>910</v>
      </c>
      <c r="AK6">
        <v>0</v>
      </c>
      <c r="AL6" s="12">
        <f>R6+S6+W6+X6</f>
        <v>6753</v>
      </c>
      <c r="AM6" s="13">
        <f>IF(AL6&gt;0,AF6/AL6,0)</f>
        <v>0.3719828224492818</v>
      </c>
      <c r="AN6" s="13">
        <f>IF(M6&gt;0,(AF6+AG6+AJ6+AK6)/M6,0)</f>
        <v>0.16175080355454718</v>
      </c>
      <c r="AO6">
        <v>2392</v>
      </c>
      <c r="AP6">
        <v>2400</v>
      </c>
      <c r="AQ6">
        <v>0</v>
      </c>
      <c r="AR6">
        <v>0</v>
      </c>
      <c r="AS6">
        <v>73</v>
      </c>
      <c r="AT6">
        <v>56</v>
      </c>
      <c r="AU6">
        <v>19</v>
      </c>
      <c r="AV6">
        <v>5</v>
      </c>
      <c r="AW6">
        <v>13</v>
      </c>
      <c r="AX6">
        <v>12</v>
      </c>
      <c r="AY6">
        <v>213</v>
      </c>
      <c r="AZ6">
        <v>600</v>
      </c>
      <c r="BA6">
        <v>166</v>
      </c>
      <c r="BB6">
        <v>7</v>
      </c>
      <c r="BC6">
        <v>7</v>
      </c>
      <c r="BD6">
        <v>5</v>
      </c>
      <c r="BE6">
        <v>10</v>
      </c>
      <c r="BF6">
        <v>15</v>
      </c>
    </row>
    <row r="7" spans="1:58">
      <c r="A7" t="s">
        <v>720</v>
      </c>
      <c r="B7">
        <v>6</v>
      </c>
      <c r="C7">
        <v>5</v>
      </c>
      <c r="D7" t="s">
        <v>726</v>
      </c>
      <c r="E7">
        <v>1</v>
      </c>
      <c r="F7" t="s">
        <v>723</v>
      </c>
      <c r="G7">
        <v>97</v>
      </c>
      <c r="H7">
        <v>115</v>
      </c>
      <c r="I7">
        <v>16</v>
      </c>
      <c r="J7">
        <v>13</v>
      </c>
      <c r="K7">
        <v>1</v>
      </c>
      <c r="L7">
        <v>2</v>
      </c>
      <c r="M7">
        <v>32708</v>
      </c>
      <c r="N7">
        <v>3994</v>
      </c>
      <c r="O7" s="12">
        <f>M7-N7</f>
        <v>28714</v>
      </c>
      <c r="P7">
        <v>78673</v>
      </c>
      <c r="Q7">
        <v>49959</v>
      </c>
      <c r="R7">
        <v>6090</v>
      </c>
      <c r="S7">
        <v>640</v>
      </c>
      <c r="T7">
        <v>50</v>
      </c>
      <c r="U7">
        <v>1360</v>
      </c>
      <c r="V7">
        <v>540</v>
      </c>
      <c r="W7">
        <v>1260</v>
      </c>
      <c r="X7">
        <v>1190</v>
      </c>
      <c r="Y7">
        <v>6415</v>
      </c>
      <c r="Z7">
        <v>525</v>
      </c>
      <c r="AA7">
        <v>11950</v>
      </c>
      <c r="AB7">
        <v>2688</v>
      </c>
      <c r="AC7">
        <v>0</v>
      </c>
      <c r="AD7">
        <v>0</v>
      </c>
      <c r="AE7">
        <v>0</v>
      </c>
      <c r="AF7">
        <v>2604</v>
      </c>
      <c r="AG7">
        <v>0</v>
      </c>
      <c r="AH7">
        <v>0</v>
      </c>
      <c r="AI7">
        <v>0</v>
      </c>
      <c r="AJ7">
        <v>1390</v>
      </c>
      <c r="AK7">
        <v>0</v>
      </c>
      <c r="AL7" s="12">
        <f>R7+S7+W7+X7</f>
        <v>9180</v>
      </c>
      <c r="AM7" s="13">
        <f>IF(AL7&gt;0,AF7/AL7,0)</f>
        <v>0.28366013071895424</v>
      </c>
      <c r="AN7" s="13">
        <f>IF(M7&gt;0,(AF7+AG7+AJ7+AK7)/M7,0)</f>
        <v>0.12211079858138682</v>
      </c>
      <c r="AO7">
        <v>2315</v>
      </c>
      <c r="AP7">
        <v>2450</v>
      </c>
      <c r="AQ7">
        <v>0</v>
      </c>
      <c r="AR7">
        <v>0</v>
      </c>
      <c r="AS7">
        <v>79</v>
      </c>
      <c r="AT7">
        <v>56</v>
      </c>
      <c r="AU7">
        <v>15</v>
      </c>
      <c r="AV7">
        <v>5</v>
      </c>
      <c r="AW7">
        <v>13</v>
      </c>
      <c r="AX7">
        <v>12</v>
      </c>
      <c r="AY7">
        <v>193</v>
      </c>
      <c r="AZ7">
        <v>0</v>
      </c>
      <c r="BA7">
        <v>359</v>
      </c>
      <c r="BB7">
        <v>11</v>
      </c>
      <c r="BC7">
        <v>11</v>
      </c>
      <c r="BD7">
        <v>12</v>
      </c>
      <c r="BE7">
        <v>7</v>
      </c>
      <c r="BF7">
        <v>16</v>
      </c>
    </row>
    <row r="8" spans="1:58">
      <c r="A8" t="s">
        <v>720</v>
      </c>
      <c r="B8">
        <v>7</v>
      </c>
      <c r="C8">
        <v>4</v>
      </c>
      <c r="D8" t="s">
        <v>727</v>
      </c>
      <c r="E8">
        <v>4</v>
      </c>
      <c r="F8" t="s">
        <v>722</v>
      </c>
      <c r="G8">
        <v>115</v>
      </c>
      <c r="H8">
        <v>136</v>
      </c>
      <c r="I8">
        <v>17</v>
      </c>
      <c r="J8">
        <v>9</v>
      </c>
      <c r="K8">
        <v>2</v>
      </c>
      <c r="L8">
        <v>6</v>
      </c>
      <c r="M8">
        <v>33839</v>
      </c>
      <c r="N8">
        <v>7614</v>
      </c>
      <c r="O8" s="12">
        <f>M8-N8</f>
        <v>26225</v>
      </c>
      <c r="P8">
        <v>104898</v>
      </c>
      <c r="Q8">
        <v>76936</v>
      </c>
      <c r="R8">
        <v>5010</v>
      </c>
      <c r="S8">
        <v>700</v>
      </c>
      <c r="T8">
        <v>1020</v>
      </c>
      <c r="U8">
        <v>160</v>
      </c>
      <c r="V8">
        <v>345</v>
      </c>
      <c r="W8">
        <v>1620</v>
      </c>
      <c r="X8">
        <v>1190</v>
      </c>
      <c r="Y8">
        <v>9035</v>
      </c>
      <c r="Z8">
        <v>525</v>
      </c>
      <c r="AA8">
        <v>11210</v>
      </c>
      <c r="AB8">
        <v>3024</v>
      </c>
      <c r="AC8">
        <v>0</v>
      </c>
      <c r="AD8">
        <v>0</v>
      </c>
      <c r="AE8">
        <v>3000</v>
      </c>
      <c r="AF8">
        <v>2994</v>
      </c>
      <c r="AG8">
        <v>0</v>
      </c>
      <c r="AH8">
        <v>0</v>
      </c>
      <c r="AI8">
        <v>0</v>
      </c>
      <c r="AJ8">
        <v>1620</v>
      </c>
      <c r="AK8">
        <v>0</v>
      </c>
      <c r="AL8" s="12">
        <f>R8+S8+W8+X8</f>
        <v>8520</v>
      </c>
      <c r="AM8" s="13">
        <f>IF(AL8&gt;0,AF8/AL8,0)</f>
        <v>0.35140845070422533</v>
      </c>
      <c r="AN8" s="13">
        <f>IF(M8&gt;0,(AF8+AG8+AJ8+AK8)/M8,0)</f>
        <v>0.13635154703153166</v>
      </c>
      <c r="AO8">
        <v>3217</v>
      </c>
      <c r="AP8">
        <v>3250</v>
      </c>
      <c r="AQ8">
        <v>0</v>
      </c>
      <c r="AR8">
        <v>0</v>
      </c>
      <c r="AS8">
        <v>87</v>
      </c>
      <c r="AT8">
        <v>66</v>
      </c>
      <c r="AU8">
        <v>17</v>
      </c>
      <c r="AV8">
        <v>5</v>
      </c>
      <c r="AW8">
        <v>13</v>
      </c>
      <c r="AX8">
        <v>13</v>
      </c>
      <c r="AY8">
        <v>162</v>
      </c>
      <c r="AZ8">
        <v>0</v>
      </c>
      <c r="BA8">
        <v>521</v>
      </c>
      <c r="BB8">
        <v>15</v>
      </c>
      <c r="BC8">
        <v>15</v>
      </c>
      <c r="BD8">
        <v>17</v>
      </c>
      <c r="BE8">
        <v>7</v>
      </c>
      <c r="BF8">
        <v>17</v>
      </c>
    </row>
    <row r="9" spans="1:58">
      <c r="A9" t="s">
        <v>720</v>
      </c>
      <c r="B9">
        <v>8</v>
      </c>
      <c r="C9">
        <v>4</v>
      </c>
      <c r="D9" t="s">
        <v>727</v>
      </c>
      <c r="E9">
        <v>1</v>
      </c>
      <c r="F9" t="s">
        <v>723</v>
      </c>
      <c r="G9">
        <v>136</v>
      </c>
      <c r="H9">
        <v>155</v>
      </c>
      <c r="I9">
        <v>16</v>
      </c>
      <c r="J9">
        <v>12</v>
      </c>
      <c r="K9">
        <v>3</v>
      </c>
      <c r="L9">
        <v>1</v>
      </c>
      <c r="M9">
        <v>39403</v>
      </c>
      <c r="N9">
        <v>4844</v>
      </c>
      <c r="O9" s="12">
        <f>M9-N9</f>
        <v>34559</v>
      </c>
      <c r="P9">
        <v>139457</v>
      </c>
      <c r="Q9">
        <v>104898</v>
      </c>
      <c r="R9">
        <v>7065</v>
      </c>
      <c r="S9">
        <v>800</v>
      </c>
      <c r="T9">
        <v>60</v>
      </c>
      <c r="U9">
        <v>1680</v>
      </c>
      <c r="V9">
        <v>660</v>
      </c>
      <c r="W9">
        <v>1680</v>
      </c>
      <c r="X9">
        <v>1190</v>
      </c>
      <c r="Y9">
        <v>10540</v>
      </c>
      <c r="Z9">
        <v>850</v>
      </c>
      <c r="AA9">
        <v>12190</v>
      </c>
      <c r="AB9">
        <v>2688</v>
      </c>
      <c r="AC9">
        <v>0</v>
      </c>
      <c r="AD9">
        <v>0</v>
      </c>
      <c r="AE9">
        <v>0</v>
      </c>
      <c r="AF9">
        <v>3024</v>
      </c>
      <c r="AG9">
        <v>0</v>
      </c>
      <c r="AH9">
        <v>0</v>
      </c>
      <c r="AI9">
        <v>0</v>
      </c>
      <c r="AJ9">
        <v>1820</v>
      </c>
      <c r="AK9">
        <v>0</v>
      </c>
      <c r="AL9" s="12">
        <f>R9+S9+W9+X9</f>
        <v>10735</v>
      </c>
      <c r="AM9" s="13">
        <f>IF(AL9&gt;0,AF9/AL9,0)</f>
        <v>0.2816953889147648</v>
      </c>
      <c r="AN9" s="13">
        <f>IF(M9&gt;0,(AF9+AG9+AJ9+AK9)/M9,0)</f>
        <v>0.12293480191863564</v>
      </c>
      <c r="AO9">
        <v>3299</v>
      </c>
      <c r="AP9">
        <v>3310</v>
      </c>
      <c r="AQ9">
        <v>0</v>
      </c>
      <c r="AR9">
        <v>0</v>
      </c>
      <c r="AS9">
        <v>94</v>
      </c>
      <c r="AT9">
        <v>66</v>
      </c>
      <c r="AU9">
        <v>15</v>
      </c>
      <c r="AV9">
        <v>5</v>
      </c>
      <c r="AW9">
        <v>13</v>
      </c>
      <c r="AX9">
        <v>13</v>
      </c>
      <c r="AY9">
        <v>136</v>
      </c>
      <c r="AZ9">
        <v>500</v>
      </c>
      <c r="BA9">
        <v>157</v>
      </c>
      <c r="BB9">
        <v>12</v>
      </c>
      <c r="BC9">
        <v>12</v>
      </c>
      <c r="BD9">
        <v>12</v>
      </c>
      <c r="BE9">
        <v>8</v>
      </c>
      <c r="BF9">
        <v>18</v>
      </c>
    </row>
    <row r="10" spans="1:58">
      <c r="A10" t="s">
        <v>720</v>
      </c>
      <c r="B10">
        <v>9</v>
      </c>
      <c r="C10">
        <v>3</v>
      </c>
      <c r="D10" t="s">
        <v>728</v>
      </c>
      <c r="E10">
        <v>1</v>
      </c>
      <c r="F10" t="s">
        <v>723</v>
      </c>
      <c r="G10">
        <v>155</v>
      </c>
      <c r="H10">
        <v>174</v>
      </c>
      <c r="I10">
        <v>17</v>
      </c>
      <c r="J10">
        <v>12</v>
      </c>
      <c r="K10">
        <v>1</v>
      </c>
      <c r="L10">
        <v>4</v>
      </c>
      <c r="M10">
        <v>30824</v>
      </c>
      <c r="N10">
        <v>9210</v>
      </c>
      <c r="O10" s="12">
        <f>M10-N10</f>
        <v>21614</v>
      </c>
      <c r="P10">
        <v>161071</v>
      </c>
      <c r="Q10">
        <v>137417</v>
      </c>
      <c r="R10">
        <v>8706</v>
      </c>
      <c r="S10">
        <v>1080</v>
      </c>
      <c r="T10">
        <v>210</v>
      </c>
      <c r="U10">
        <v>2000</v>
      </c>
      <c r="V10">
        <v>570</v>
      </c>
      <c r="W10">
        <v>1900</v>
      </c>
      <c r="X10">
        <v>1190</v>
      </c>
      <c r="Y10">
        <v>2510</v>
      </c>
      <c r="Z10">
        <v>1125</v>
      </c>
      <c r="AA10">
        <v>8845</v>
      </c>
      <c r="AB10">
        <v>2688</v>
      </c>
      <c r="AC10">
        <v>0</v>
      </c>
      <c r="AD10">
        <v>0</v>
      </c>
      <c r="AE10">
        <v>3800</v>
      </c>
      <c r="AF10">
        <v>3550</v>
      </c>
      <c r="AG10">
        <v>0</v>
      </c>
      <c r="AH10">
        <v>0</v>
      </c>
      <c r="AI10">
        <v>0</v>
      </c>
      <c r="AJ10">
        <v>1860</v>
      </c>
      <c r="AK10">
        <v>0</v>
      </c>
      <c r="AL10" s="12">
        <f>R10+S10+W10+X10</f>
        <v>12876</v>
      </c>
      <c r="AM10" s="13">
        <f>IF(AL10&gt;0,AF10/AL10,0)</f>
        <v>0.2757067412239826</v>
      </c>
      <c r="AN10" s="13">
        <f>IF(M10&gt;0,(AF10+AG10+AJ10+AK10)/M10,0)</f>
        <v>0.17551258759408253</v>
      </c>
      <c r="AO10">
        <v>4265</v>
      </c>
      <c r="AP10">
        <v>4400</v>
      </c>
      <c r="AQ10">
        <v>0</v>
      </c>
      <c r="AR10">
        <v>0</v>
      </c>
      <c r="AS10">
        <v>96</v>
      </c>
      <c r="AT10">
        <v>74</v>
      </c>
      <c r="AU10">
        <v>19</v>
      </c>
      <c r="AV10">
        <v>5</v>
      </c>
      <c r="AW10">
        <v>13</v>
      </c>
      <c r="AX10">
        <v>15</v>
      </c>
      <c r="AY10">
        <v>163</v>
      </c>
      <c r="AZ10">
        <v>0</v>
      </c>
      <c r="BA10">
        <v>320</v>
      </c>
      <c r="BB10">
        <v>11</v>
      </c>
      <c r="BC10">
        <v>10</v>
      </c>
      <c r="BD10">
        <v>6</v>
      </c>
      <c r="BE10">
        <v>12</v>
      </c>
      <c r="BF10">
        <v>19</v>
      </c>
    </row>
    <row r="11" spans="1:58">
      <c r="A11" t="s">
        <v>729</v>
      </c>
      <c r="B11">
        <v>1</v>
      </c>
      <c r="C11">
        <v>8</v>
      </c>
      <c r="D11" t="s">
        <v>721</v>
      </c>
      <c r="E11">
        <v>2</v>
      </c>
      <c r="F11" t="s">
        <v>723</v>
      </c>
      <c r="G11">
        <v>1</v>
      </c>
      <c r="H11">
        <v>6</v>
      </c>
      <c r="I11">
        <v>15</v>
      </c>
      <c r="J11">
        <v>9</v>
      </c>
      <c r="K11">
        <v>1</v>
      </c>
      <c r="L11">
        <v>5</v>
      </c>
      <c r="M11">
        <v>15437</v>
      </c>
      <c r="N11">
        <v>12962</v>
      </c>
      <c r="O11" s="12">
        <f>M11-N11</f>
        <v>2475</v>
      </c>
      <c r="P11">
        <v>2975</v>
      </c>
      <c r="Q11">
        <v>50</v>
      </c>
      <c r="R11">
        <v>2139</v>
      </c>
      <c r="S11">
        <v>0</v>
      </c>
      <c r="T11">
        <v>0</v>
      </c>
      <c r="U11">
        <v>720</v>
      </c>
      <c r="V11">
        <v>320</v>
      </c>
      <c r="W11">
        <v>260</v>
      </c>
      <c r="X11">
        <v>240</v>
      </c>
      <c r="Y11">
        <v>1750</v>
      </c>
      <c r="Z11">
        <v>550</v>
      </c>
      <c r="AA11">
        <v>8610</v>
      </c>
      <c r="AB11">
        <v>848</v>
      </c>
      <c r="AC11">
        <v>0</v>
      </c>
      <c r="AD11">
        <v>8900</v>
      </c>
      <c r="AE11">
        <v>2900</v>
      </c>
      <c r="AF11">
        <v>772</v>
      </c>
      <c r="AG11">
        <v>0</v>
      </c>
      <c r="AH11">
        <v>0</v>
      </c>
      <c r="AI11">
        <v>0</v>
      </c>
      <c r="AJ11">
        <v>390</v>
      </c>
      <c r="AK11">
        <v>0</v>
      </c>
      <c r="AL11" s="12">
        <f>R11+S11+W11+X11</f>
        <v>2639</v>
      </c>
      <c r="AM11" s="13">
        <f>IF(AL11&gt;0,AF11/AL11,0)</f>
        <v>0.2925350511557408</v>
      </c>
      <c r="AN11" s="13">
        <f>IF(M11&gt;0,(AF11+AG11+AJ11+AK11)/M11,0)</f>
        <v>0.07527369307507935</v>
      </c>
      <c r="AO11">
        <v>987</v>
      </c>
      <c r="AP11">
        <v>1000</v>
      </c>
      <c r="AQ11">
        <v>0</v>
      </c>
      <c r="AR11">
        <v>0</v>
      </c>
      <c r="AS11">
        <v>46</v>
      </c>
      <c r="AT11">
        <v>39</v>
      </c>
      <c r="AU11">
        <v>20</v>
      </c>
      <c r="AV11">
        <v>2</v>
      </c>
      <c r="AW11">
        <v>6</v>
      </c>
      <c r="AX11">
        <v>6</v>
      </c>
      <c r="AY11">
        <v>212</v>
      </c>
      <c r="AZ11">
        <v>200</v>
      </c>
      <c r="BA11">
        <v>62</v>
      </c>
      <c r="BB11">
        <v>14</v>
      </c>
      <c r="BC11">
        <v>16</v>
      </c>
      <c r="BD11">
        <v>14</v>
      </c>
      <c r="BE11">
        <v>7</v>
      </c>
      <c r="BF11">
        <v>8</v>
      </c>
    </row>
    <row r="12" spans="1:58">
      <c r="A12" t="s">
        <v>729</v>
      </c>
      <c r="B12">
        <v>2</v>
      </c>
      <c r="C12">
        <v>7</v>
      </c>
      <c r="D12" t="s">
        <v>724</v>
      </c>
      <c r="E12">
        <v>2</v>
      </c>
      <c r="F12" t="s">
        <v>723</v>
      </c>
      <c r="G12">
        <v>6</v>
      </c>
      <c r="H12">
        <v>11</v>
      </c>
      <c r="I12">
        <v>17</v>
      </c>
      <c r="J12">
        <v>11</v>
      </c>
      <c r="K12">
        <v>1</v>
      </c>
      <c r="L12">
        <v>5</v>
      </c>
      <c r="M12">
        <v>19226</v>
      </c>
      <c r="N12">
        <v>19442</v>
      </c>
      <c r="O12" s="12">
        <f>M12-N12</f>
        <v>-216</v>
      </c>
      <c r="P12">
        <v>2759</v>
      </c>
      <c r="Q12">
        <v>457</v>
      </c>
      <c r="R12">
        <v>2964</v>
      </c>
      <c r="S12">
        <v>420</v>
      </c>
      <c r="T12">
        <v>595</v>
      </c>
      <c r="U12">
        <v>720</v>
      </c>
      <c r="V12">
        <v>150</v>
      </c>
      <c r="W12">
        <v>500</v>
      </c>
      <c r="X12">
        <v>530</v>
      </c>
      <c r="Y12">
        <v>2330</v>
      </c>
      <c r="Z12">
        <v>75</v>
      </c>
      <c r="AA12">
        <v>9670</v>
      </c>
      <c r="AB12">
        <v>1272</v>
      </c>
      <c r="AC12">
        <v>0</v>
      </c>
      <c r="AD12">
        <v>13900</v>
      </c>
      <c r="AE12">
        <v>3400</v>
      </c>
      <c r="AF12">
        <v>1522</v>
      </c>
      <c r="AG12">
        <v>0</v>
      </c>
      <c r="AH12">
        <v>0</v>
      </c>
      <c r="AI12">
        <v>0</v>
      </c>
      <c r="AJ12">
        <v>620</v>
      </c>
      <c r="AK12">
        <v>0</v>
      </c>
      <c r="AL12" s="12">
        <f>R12+S12+W12+X12</f>
        <v>4414</v>
      </c>
      <c r="AM12" s="13">
        <f>IF(AL12&gt;0,AF12/AL12,0)</f>
        <v>0.3448119619392841</v>
      </c>
      <c r="AN12" s="13">
        <f>IF(M12&gt;0,(AF12+AG12+AJ12+AK12)/M12,0)</f>
        <v>0.1114116300842609</v>
      </c>
      <c r="AO12">
        <v>1302</v>
      </c>
      <c r="AP12">
        <v>1310</v>
      </c>
      <c r="AQ12">
        <v>0</v>
      </c>
      <c r="AR12">
        <v>0</v>
      </c>
      <c r="AS12">
        <v>54</v>
      </c>
      <c r="AT12">
        <v>43</v>
      </c>
      <c r="AU12">
        <v>19</v>
      </c>
      <c r="AV12">
        <v>3</v>
      </c>
      <c r="AW12">
        <v>10</v>
      </c>
      <c r="AX12">
        <v>9</v>
      </c>
      <c r="AY12">
        <v>175</v>
      </c>
      <c r="AZ12">
        <v>0</v>
      </c>
      <c r="BA12">
        <v>237</v>
      </c>
      <c r="BB12">
        <v>9</v>
      </c>
      <c r="BC12">
        <v>7</v>
      </c>
      <c r="BD12">
        <v>11</v>
      </c>
      <c r="BE12">
        <v>1</v>
      </c>
      <c r="BF12">
        <v>10</v>
      </c>
    </row>
    <row r="13" spans="1:58">
      <c r="A13" t="s">
        <v>729</v>
      </c>
      <c r="B13">
        <v>3</v>
      </c>
      <c r="C13">
        <v>6</v>
      </c>
      <c r="D13" t="s">
        <v>725</v>
      </c>
      <c r="E13">
        <v>1</v>
      </c>
      <c r="F13" t="s">
        <v>723</v>
      </c>
      <c r="G13">
        <v>11</v>
      </c>
      <c r="H13">
        <v>17</v>
      </c>
      <c r="I13">
        <v>17</v>
      </c>
      <c r="J13">
        <v>16</v>
      </c>
      <c r="K13">
        <v>1</v>
      </c>
      <c r="L13">
        <v>0</v>
      </c>
      <c r="M13">
        <v>28130</v>
      </c>
      <c r="N13">
        <v>17134</v>
      </c>
      <c r="O13" s="12">
        <f>M13-N13</f>
        <v>10996</v>
      </c>
      <c r="P13">
        <v>13755</v>
      </c>
      <c r="Q13">
        <v>648</v>
      </c>
      <c r="R13">
        <v>6699</v>
      </c>
      <c r="S13">
        <v>480</v>
      </c>
      <c r="T13">
        <v>680</v>
      </c>
      <c r="U13">
        <v>1040</v>
      </c>
      <c r="V13">
        <v>645</v>
      </c>
      <c r="W13">
        <v>920</v>
      </c>
      <c r="X13">
        <v>630</v>
      </c>
      <c r="Y13">
        <v>3895</v>
      </c>
      <c r="Z13">
        <v>225</v>
      </c>
      <c r="AA13">
        <v>11180</v>
      </c>
      <c r="AB13">
        <v>1736</v>
      </c>
      <c r="AC13">
        <v>0</v>
      </c>
      <c r="AD13">
        <v>12800</v>
      </c>
      <c r="AE13">
        <v>1500</v>
      </c>
      <c r="AF13">
        <v>1924</v>
      </c>
      <c r="AG13">
        <v>0</v>
      </c>
      <c r="AH13">
        <v>0</v>
      </c>
      <c r="AI13">
        <v>0</v>
      </c>
      <c r="AJ13">
        <v>910</v>
      </c>
      <c r="AK13">
        <v>0</v>
      </c>
      <c r="AL13" s="12">
        <f>R13+S13+W13+X13</f>
        <v>8729</v>
      </c>
      <c r="AM13" s="13">
        <f>IF(AL13&gt;0,AF13/AL13,0)</f>
        <v>0.22041470958872722</v>
      </c>
      <c r="AN13" s="13">
        <f>IF(M13&gt;0,(AF13+AG13+AJ13+AK13)/M13,0)</f>
        <v>0.10074653394952009</v>
      </c>
      <c r="AO13">
        <v>1702</v>
      </c>
      <c r="AP13">
        <v>1750</v>
      </c>
      <c r="AQ13">
        <v>0</v>
      </c>
      <c r="AR13">
        <v>0</v>
      </c>
      <c r="AS13">
        <v>63</v>
      </c>
      <c r="AT13">
        <v>47</v>
      </c>
      <c r="AU13">
        <v>18</v>
      </c>
      <c r="AV13">
        <v>5</v>
      </c>
      <c r="AW13">
        <v>13</v>
      </c>
      <c r="AX13">
        <v>10</v>
      </c>
      <c r="AY13">
        <v>276</v>
      </c>
      <c r="AZ13">
        <v>0</v>
      </c>
      <c r="BA13">
        <v>513</v>
      </c>
      <c r="BB13">
        <v>11</v>
      </c>
      <c r="BC13">
        <v>12</v>
      </c>
      <c r="BD13">
        <v>15</v>
      </c>
      <c r="BE13">
        <v>3</v>
      </c>
      <c r="BF13">
        <v>13</v>
      </c>
    </row>
    <row r="14" spans="1:58">
      <c r="A14" t="s">
        <v>729</v>
      </c>
      <c r="B14">
        <v>4</v>
      </c>
      <c r="C14">
        <v>5</v>
      </c>
      <c r="D14" t="s">
        <v>726</v>
      </c>
      <c r="E14">
        <v>1</v>
      </c>
      <c r="F14" t="s">
        <v>723</v>
      </c>
      <c r="G14">
        <v>17</v>
      </c>
      <c r="H14">
        <v>23</v>
      </c>
      <c r="I14">
        <v>17</v>
      </c>
      <c r="J14">
        <v>13</v>
      </c>
      <c r="K14">
        <v>0</v>
      </c>
      <c r="L14">
        <v>4</v>
      </c>
      <c r="M14">
        <v>28426</v>
      </c>
      <c r="N14">
        <v>11938</v>
      </c>
      <c r="O14" s="12">
        <f>M14-N14</f>
        <v>16488</v>
      </c>
      <c r="P14">
        <v>30243</v>
      </c>
      <c r="Q14">
        <v>6942</v>
      </c>
      <c r="R14">
        <v>5440</v>
      </c>
      <c r="S14">
        <v>640</v>
      </c>
      <c r="T14">
        <v>850</v>
      </c>
      <c r="U14">
        <v>1360</v>
      </c>
      <c r="V14">
        <v>675</v>
      </c>
      <c r="W14">
        <v>1340</v>
      </c>
      <c r="X14">
        <v>1110</v>
      </c>
      <c r="Y14">
        <v>2805</v>
      </c>
      <c r="Z14">
        <v>450</v>
      </c>
      <c r="AA14">
        <v>11740</v>
      </c>
      <c r="AB14">
        <v>2016</v>
      </c>
      <c r="AC14">
        <v>0</v>
      </c>
      <c r="AD14">
        <v>0</v>
      </c>
      <c r="AE14">
        <v>8000</v>
      </c>
      <c r="AF14">
        <v>2918</v>
      </c>
      <c r="AG14">
        <v>0</v>
      </c>
      <c r="AH14">
        <v>0</v>
      </c>
      <c r="AI14">
        <v>0</v>
      </c>
      <c r="AJ14">
        <v>1020</v>
      </c>
      <c r="AK14">
        <v>0</v>
      </c>
      <c r="AL14" s="12">
        <f>R14+S14+W14+X14</f>
        <v>8530</v>
      </c>
      <c r="AM14" s="13">
        <f>IF(AL14&gt;0,AF14/AL14,0)</f>
        <v>0.3420867526377491</v>
      </c>
      <c r="AN14" s="13">
        <f>IF(M14&gt;0,(AF14+AG14+AJ14+AK14)/M14,0)</f>
        <v>0.1385351438823612</v>
      </c>
      <c r="AO14">
        <v>2403</v>
      </c>
      <c r="AP14">
        <v>2480</v>
      </c>
      <c r="AQ14">
        <v>0</v>
      </c>
      <c r="AR14">
        <v>0</v>
      </c>
      <c r="AS14">
        <v>70</v>
      </c>
      <c r="AT14">
        <v>57</v>
      </c>
      <c r="AU14">
        <v>21</v>
      </c>
      <c r="AV14">
        <v>5</v>
      </c>
      <c r="AW14">
        <v>13</v>
      </c>
      <c r="AX14">
        <v>13</v>
      </c>
      <c r="AY14">
        <v>207</v>
      </c>
      <c r="AZ14">
        <v>600</v>
      </c>
      <c r="BA14">
        <v>120</v>
      </c>
      <c r="BB14">
        <v>10</v>
      </c>
      <c r="BC14">
        <v>11</v>
      </c>
      <c r="BD14">
        <v>11</v>
      </c>
      <c r="BE14">
        <v>6</v>
      </c>
      <c r="BF14">
        <v>14</v>
      </c>
    </row>
    <row r="15" spans="1:58">
      <c r="A15" t="s">
        <v>729</v>
      </c>
      <c r="B15">
        <v>5</v>
      </c>
      <c r="C15">
        <v>4</v>
      </c>
      <c r="D15" t="s">
        <v>727</v>
      </c>
      <c r="E15">
        <v>1</v>
      </c>
      <c r="F15" t="s">
        <v>723</v>
      </c>
      <c r="G15">
        <v>23</v>
      </c>
      <c r="H15">
        <v>28</v>
      </c>
      <c r="I15">
        <v>16</v>
      </c>
      <c r="J15">
        <v>11</v>
      </c>
      <c r="K15">
        <v>2</v>
      </c>
      <c r="L15">
        <v>3</v>
      </c>
      <c r="M15">
        <v>31432</v>
      </c>
      <c r="N15">
        <v>8148</v>
      </c>
      <c r="O15" s="12">
        <f>M15-N15</f>
        <v>23284</v>
      </c>
      <c r="P15">
        <v>53527</v>
      </c>
      <c r="Q15">
        <v>29206</v>
      </c>
      <c r="R15">
        <v>5672</v>
      </c>
      <c r="S15">
        <v>800</v>
      </c>
      <c r="T15">
        <v>60</v>
      </c>
      <c r="U15">
        <v>1680</v>
      </c>
      <c r="V15">
        <v>480</v>
      </c>
      <c r="W15">
        <v>1640</v>
      </c>
      <c r="X15">
        <v>1190</v>
      </c>
      <c r="Y15">
        <v>6255</v>
      </c>
      <c r="Z15">
        <v>175</v>
      </c>
      <c r="AA15">
        <v>11800</v>
      </c>
      <c r="AB15">
        <v>1680</v>
      </c>
      <c r="AC15">
        <v>0</v>
      </c>
      <c r="AD15">
        <v>0</v>
      </c>
      <c r="AE15">
        <v>3500</v>
      </c>
      <c r="AF15">
        <v>3408</v>
      </c>
      <c r="AG15">
        <v>0</v>
      </c>
      <c r="AH15">
        <v>0</v>
      </c>
      <c r="AI15">
        <v>0</v>
      </c>
      <c r="AJ15">
        <v>1240</v>
      </c>
      <c r="AK15">
        <v>0</v>
      </c>
      <c r="AL15" s="12">
        <f>R15+S15+W15+X15</f>
        <v>9302</v>
      </c>
      <c r="AM15" s="13">
        <f>IF(AL15&gt;0,AF15/AL15,0)</f>
        <v>0.3663728230488067</v>
      </c>
      <c r="AN15" s="13">
        <f>IF(M15&gt;0,(AF15+AG15+AJ15+AK15)/M15,0)</f>
        <v>0.14787477729702214</v>
      </c>
      <c r="AO15">
        <v>3253</v>
      </c>
      <c r="AP15">
        <v>3310</v>
      </c>
      <c r="AQ15">
        <v>0</v>
      </c>
      <c r="AR15">
        <v>0</v>
      </c>
      <c r="AS15">
        <v>85</v>
      </c>
      <c r="AT15">
        <v>65</v>
      </c>
      <c r="AU15">
        <v>20</v>
      </c>
      <c r="AV15">
        <v>5</v>
      </c>
      <c r="AW15">
        <v>13</v>
      </c>
      <c r="AX15">
        <v>14</v>
      </c>
      <c r="AY15">
        <v>301</v>
      </c>
      <c r="AZ15">
        <v>0</v>
      </c>
      <c r="BA15">
        <v>421</v>
      </c>
      <c r="BB15">
        <v>14</v>
      </c>
      <c r="BC15">
        <v>12</v>
      </c>
      <c r="BD15">
        <v>15</v>
      </c>
      <c r="BE15">
        <v>2</v>
      </c>
      <c r="BF15">
        <v>15</v>
      </c>
    </row>
    <row r="16" spans="1:58">
      <c r="A16" t="s">
        <v>729</v>
      </c>
      <c r="B16">
        <v>6</v>
      </c>
      <c r="C16">
        <v>3</v>
      </c>
      <c r="D16" t="s">
        <v>728</v>
      </c>
      <c r="E16">
        <v>1</v>
      </c>
      <c r="F16" t="s">
        <v>723</v>
      </c>
      <c r="G16">
        <v>28</v>
      </c>
      <c r="H16">
        <v>34</v>
      </c>
      <c r="I16">
        <v>17</v>
      </c>
      <c r="J16">
        <v>14</v>
      </c>
      <c r="K16">
        <v>2</v>
      </c>
      <c r="L16">
        <v>1</v>
      </c>
      <c r="M16">
        <v>36602</v>
      </c>
      <c r="N16">
        <v>8130</v>
      </c>
      <c r="O16" s="12">
        <f>M16-N16</f>
        <v>28472</v>
      </c>
      <c r="P16">
        <v>81999</v>
      </c>
      <c r="Q16">
        <v>53527</v>
      </c>
      <c r="R16">
        <v>10826</v>
      </c>
      <c r="S16">
        <v>1080</v>
      </c>
      <c r="T16">
        <v>1190</v>
      </c>
      <c r="U16">
        <v>2000</v>
      </c>
      <c r="V16">
        <v>975</v>
      </c>
      <c r="W16">
        <v>1920</v>
      </c>
      <c r="X16">
        <v>1190</v>
      </c>
      <c r="Y16">
        <v>2915</v>
      </c>
      <c r="Z16">
        <v>450</v>
      </c>
      <c r="AA16">
        <v>12040</v>
      </c>
      <c r="AB16">
        <v>2016</v>
      </c>
      <c r="AC16">
        <v>0</v>
      </c>
      <c r="AD16">
        <v>0</v>
      </c>
      <c r="AE16">
        <v>2500</v>
      </c>
      <c r="AF16">
        <v>3890</v>
      </c>
      <c r="AG16">
        <v>0</v>
      </c>
      <c r="AH16">
        <v>0</v>
      </c>
      <c r="AI16">
        <v>0</v>
      </c>
      <c r="AJ16">
        <v>1740</v>
      </c>
      <c r="AK16">
        <v>0</v>
      </c>
      <c r="AL16" s="12">
        <f>R16+S16+W16+X16</f>
        <v>15016</v>
      </c>
      <c r="AM16" s="13">
        <f>IF(AL16&gt;0,AF16/AL16,0)</f>
        <v>0.2590570058604156</v>
      </c>
      <c r="AN16" s="13">
        <f>IF(M16&gt;0,(AF16+AG16+AJ16+AK16)/M16,0)</f>
        <v>0.15381673132615703</v>
      </c>
      <c r="AO16">
        <v>4286</v>
      </c>
      <c r="AP16">
        <v>4440</v>
      </c>
      <c r="AQ16">
        <v>0</v>
      </c>
      <c r="AR16">
        <v>0</v>
      </c>
      <c r="AS16">
        <v>90</v>
      </c>
      <c r="AT16">
        <v>74</v>
      </c>
      <c r="AU16">
        <v>23</v>
      </c>
      <c r="AV16">
        <v>5</v>
      </c>
      <c r="AW16">
        <v>13</v>
      </c>
      <c r="AX16">
        <v>16</v>
      </c>
      <c r="AY16">
        <v>178</v>
      </c>
      <c r="AZ16">
        <v>500</v>
      </c>
      <c r="BA16">
        <v>99</v>
      </c>
      <c r="BB16">
        <v>6</v>
      </c>
      <c r="BC16">
        <v>8</v>
      </c>
      <c r="BD16">
        <v>8</v>
      </c>
      <c r="BE16">
        <v>6</v>
      </c>
      <c r="BF16">
        <v>17</v>
      </c>
    </row>
    <row r="17" spans="1:58">
      <c r="A17" t="s">
        <v>729</v>
      </c>
      <c r="B17">
        <v>7</v>
      </c>
      <c r="C17">
        <v>2</v>
      </c>
      <c r="D17" t="s">
        <v>730</v>
      </c>
      <c r="E17">
        <v>6</v>
      </c>
      <c r="F17" t="s">
        <v>722</v>
      </c>
      <c r="G17">
        <v>34</v>
      </c>
      <c r="H17">
        <v>39</v>
      </c>
      <c r="I17">
        <v>17</v>
      </c>
      <c r="J17">
        <v>6</v>
      </c>
      <c r="K17">
        <v>2</v>
      </c>
      <c r="L17">
        <v>9</v>
      </c>
      <c r="M17">
        <v>24788</v>
      </c>
      <c r="N17">
        <v>9378</v>
      </c>
      <c r="O17" s="12">
        <f>M17-N17</f>
        <v>15410</v>
      </c>
      <c r="P17">
        <v>97409</v>
      </c>
      <c r="Q17">
        <v>81193</v>
      </c>
      <c r="R17">
        <v>4978</v>
      </c>
      <c r="S17">
        <v>980</v>
      </c>
      <c r="T17">
        <v>240</v>
      </c>
      <c r="U17">
        <v>120</v>
      </c>
      <c r="V17">
        <v>0</v>
      </c>
      <c r="W17">
        <v>2200</v>
      </c>
      <c r="X17">
        <v>1190</v>
      </c>
      <c r="Y17">
        <v>5740</v>
      </c>
      <c r="Z17">
        <v>150</v>
      </c>
      <c r="AA17">
        <v>7510</v>
      </c>
      <c r="AB17">
        <v>1680</v>
      </c>
      <c r="AC17">
        <v>0</v>
      </c>
      <c r="AD17">
        <v>0</v>
      </c>
      <c r="AE17">
        <v>3100</v>
      </c>
      <c r="AF17">
        <v>4418</v>
      </c>
      <c r="AG17">
        <v>0</v>
      </c>
      <c r="AH17">
        <v>0</v>
      </c>
      <c r="AI17">
        <v>0</v>
      </c>
      <c r="AJ17">
        <v>1860</v>
      </c>
      <c r="AK17">
        <v>0</v>
      </c>
      <c r="AL17" s="12">
        <f>R17+S17+W17+X17</f>
        <v>9348</v>
      </c>
      <c r="AM17" s="13">
        <f>IF(AL17&gt;0,AF17/AL17,0)</f>
        <v>0.47261446298673515</v>
      </c>
      <c r="AN17" s="13">
        <f>IF(M17&gt;0,(AF17+AG17+AJ17+AK17)/M17,0)</f>
        <v>0.2532677101823463</v>
      </c>
      <c r="AO17">
        <v>4920</v>
      </c>
      <c r="AP17">
        <v>5350</v>
      </c>
      <c r="AQ17">
        <v>0</v>
      </c>
      <c r="AR17">
        <v>0</v>
      </c>
      <c r="AS17">
        <v>95</v>
      </c>
      <c r="AT17">
        <v>84</v>
      </c>
      <c r="AU17">
        <v>23</v>
      </c>
      <c r="AV17">
        <v>5</v>
      </c>
      <c r="AW17">
        <v>13</v>
      </c>
      <c r="AX17">
        <v>18</v>
      </c>
      <c r="AY17">
        <v>97</v>
      </c>
      <c r="AZ17">
        <v>0</v>
      </c>
      <c r="BA17">
        <v>196</v>
      </c>
      <c r="BB17">
        <v>8</v>
      </c>
      <c r="BC17">
        <v>8</v>
      </c>
      <c r="BD17">
        <v>11</v>
      </c>
      <c r="BE17">
        <v>2</v>
      </c>
      <c r="BF17">
        <v>18</v>
      </c>
    </row>
    <row r="18" spans="1:58">
      <c r="A18" t="s">
        <v>729</v>
      </c>
      <c r="B18">
        <v>8</v>
      </c>
      <c r="C18">
        <v>2</v>
      </c>
      <c r="D18" t="s">
        <v>730</v>
      </c>
      <c r="E18">
        <v>1</v>
      </c>
      <c r="F18" t="s">
        <v>723</v>
      </c>
      <c r="G18">
        <v>39</v>
      </c>
      <c r="H18">
        <v>45</v>
      </c>
      <c r="I18">
        <v>17</v>
      </c>
      <c r="J18">
        <v>12</v>
      </c>
      <c r="K18">
        <v>3</v>
      </c>
      <c r="L18">
        <v>2</v>
      </c>
      <c r="M18">
        <v>39299</v>
      </c>
      <c r="N18">
        <v>6320</v>
      </c>
      <c r="O18" s="12">
        <f>M18-N18</f>
        <v>32979</v>
      </c>
      <c r="P18">
        <v>130388</v>
      </c>
      <c r="Q18">
        <v>97409</v>
      </c>
      <c r="R18">
        <v>9208</v>
      </c>
      <c r="S18">
        <v>980</v>
      </c>
      <c r="T18">
        <v>1360</v>
      </c>
      <c r="U18">
        <v>2320</v>
      </c>
      <c r="V18">
        <v>1365</v>
      </c>
      <c r="W18">
        <v>2240</v>
      </c>
      <c r="X18">
        <v>1190</v>
      </c>
      <c r="Y18">
        <v>3200</v>
      </c>
      <c r="Z18">
        <v>975</v>
      </c>
      <c r="AA18">
        <v>14445</v>
      </c>
      <c r="AB18">
        <v>2016</v>
      </c>
      <c r="AC18">
        <v>0</v>
      </c>
      <c r="AD18">
        <v>0</v>
      </c>
      <c r="AE18">
        <v>0</v>
      </c>
      <c r="AF18">
        <v>4480</v>
      </c>
      <c r="AG18">
        <v>0</v>
      </c>
      <c r="AH18">
        <v>0</v>
      </c>
      <c r="AI18">
        <v>0</v>
      </c>
      <c r="AJ18">
        <v>1840</v>
      </c>
      <c r="AK18">
        <v>0</v>
      </c>
      <c r="AL18" s="12">
        <f>R18+S18+W18+X18</f>
        <v>13618</v>
      </c>
      <c r="AM18" s="13">
        <f>IF(AL18&gt;0,AF18/AL18,0)</f>
        <v>0.328976354824497</v>
      </c>
      <c r="AN18" s="13">
        <f>IF(M18&gt;0,(AF18+AG18+AJ18+AK18)/M18,0)</f>
        <v>0.16081834143362428</v>
      </c>
      <c r="AO18">
        <v>5141</v>
      </c>
      <c r="AP18">
        <v>5580</v>
      </c>
      <c r="AQ18">
        <v>0</v>
      </c>
      <c r="AR18">
        <v>0</v>
      </c>
      <c r="AS18">
        <v>96</v>
      </c>
      <c r="AT18">
        <v>83</v>
      </c>
      <c r="AU18">
        <v>23</v>
      </c>
      <c r="AV18">
        <v>5</v>
      </c>
      <c r="AW18">
        <v>13</v>
      </c>
      <c r="AX18">
        <v>18</v>
      </c>
      <c r="AY18">
        <v>225</v>
      </c>
      <c r="AZ18">
        <v>0</v>
      </c>
      <c r="BA18">
        <v>421</v>
      </c>
      <c r="BB18">
        <v>13</v>
      </c>
      <c r="BC18">
        <v>13</v>
      </c>
      <c r="BD18">
        <v>7</v>
      </c>
      <c r="BE18">
        <v>12</v>
      </c>
      <c r="BF18">
        <v>19</v>
      </c>
    </row>
    <row r="19" spans="1:58">
      <c r="A19" t="s">
        <v>729</v>
      </c>
      <c r="B19">
        <v>9</v>
      </c>
      <c r="C19">
        <v>1</v>
      </c>
      <c r="D19" t="s">
        <v>731</v>
      </c>
      <c r="E19">
        <v>2</v>
      </c>
      <c r="F19" t="s">
        <v>722</v>
      </c>
      <c r="G19">
        <v>45</v>
      </c>
      <c r="H19">
        <v>52</v>
      </c>
      <c r="I19">
        <v>21</v>
      </c>
      <c r="J19">
        <v>12</v>
      </c>
      <c r="K19">
        <v>3</v>
      </c>
      <c r="L19">
        <v>6</v>
      </c>
      <c r="M19">
        <v>38704</v>
      </c>
      <c r="N19">
        <v>6380</v>
      </c>
      <c r="O19" s="12">
        <f>M19-N19</f>
        <v>32324</v>
      </c>
      <c r="P19">
        <v>162712</v>
      </c>
      <c r="Q19">
        <v>130388</v>
      </c>
      <c r="R19">
        <v>11752</v>
      </c>
      <c r="S19">
        <v>1760</v>
      </c>
      <c r="T19">
        <v>3440</v>
      </c>
      <c r="U19">
        <v>2270</v>
      </c>
      <c r="V19">
        <v>400</v>
      </c>
      <c r="W19">
        <v>2480</v>
      </c>
      <c r="X19">
        <v>1190</v>
      </c>
      <c r="Y19">
        <v>500</v>
      </c>
      <c r="Z19">
        <v>1625</v>
      </c>
      <c r="AA19">
        <v>10935</v>
      </c>
      <c r="AB19">
        <v>2352</v>
      </c>
      <c r="AC19">
        <v>0</v>
      </c>
      <c r="AD19">
        <v>0</v>
      </c>
      <c r="AE19">
        <v>0</v>
      </c>
      <c r="AF19">
        <v>4480</v>
      </c>
      <c r="AG19">
        <v>0</v>
      </c>
      <c r="AH19">
        <v>0</v>
      </c>
      <c r="AI19">
        <v>0</v>
      </c>
      <c r="AJ19">
        <v>1900</v>
      </c>
      <c r="AK19">
        <v>0</v>
      </c>
      <c r="AL19" s="12">
        <f>R19+S19+W19+X19</f>
        <v>17182</v>
      </c>
      <c r="AM19" s="13">
        <f>IF(AL19&gt;0,AF19/AL19,0)</f>
        <v>0.26073798160866024</v>
      </c>
      <c r="AN19" s="13">
        <f>IF(M19&gt;0,(AF19+AG19+AJ19+AK19)/M19,0)</f>
        <v>0.16484084332368748</v>
      </c>
      <c r="AO19">
        <v>5200</v>
      </c>
      <c r="AP19">
        <v>6690</v>
      </c>
      <c r="AQ19">
        <v>0</v>
      </c>
      <c r="AR19">
        <v>0</v>
      </c>
      <c r="AS19">
        <v>97</v>
      </c>
      <c r="AT19">
        <v>92</v>
      </c>
      <c r="AU19">
        <v>23</v>
      </c>
      <c r="AV19">
        <v>5</v>
      </c>
      <c r="AW19">
        <v>13</v>
      </c>
      <c r="AX19">
        <v>18</v>
      </c>
      <c r="AY19">
        <v>159</v>
      </c>
      <c r="AZ19">
        <v>0</v>
      </c>
      <c r="BA19">
        <v>580</v>
      </c>
      <c r="BB19">
        <v>14</v>
      </c>
      <c r="BC19">
        <v>13</v>
      </c>
      <c r="BD19">
        <v>1</v>
      </c>
      <c r="BE19">
        <v>19</v>
      </c>
      <c r="BF19">
        <v>20</v>
      </c>
    </row>
    <row r="20" spans="1:58">
      <c r="A20" t="s">
        <v>729</v>
      </c>
      <c r="B20">
        <v>10</v>
      </c>
      <c r="C20">
        <v>1</v>
      </c>
      <c r="D20" t="s">
        <v>731</v>
      </c>
      <c r="E20">
        <v>3</v>
      </c>
      <c r="F20" t="s">
        <v>722</v>
      </c>
      <c r="G20">
        <v>52</v>
      </c>
      <c r="H20">
        <v>59</v>
      </c>
      <c r="I20">
        <v>22</v>
      </c>
      <c r="J20">
        <v>11</v>
      </c>
      <c r="K20">
        <v>4</v>
      </c>
      <c r="L20">
        <v>7</v>
      </c>
      <c r="M20">
        <v>39731</v>
      </c>
      <c r="N20">
        <v>6400</v>
      </c>
      <c r="O20" s="12">
        <f>M20-N20</f>
        <v>33331</v>
      </c>
      <c r="P20">
        <v>196043</v>
      </c>
      <c r="Q20">
        <v>162712</v>
      </c>
      <c r="R20">
        <v>9169</v>
      </c>
      <c r="S20">
        <v>1600</v>
      </c>
      <c r="T20">
        <v>5350</v>
      </c>
      <c r="U20">
        <v>350</v>
      </c>
      <c r="V20">
        <v>670</v>
      </c>
      <c r="W20">
        <v>2520</v>
      </c>
      <c r="X20">
        <v>1190</v>
      </c>
      <c r="Y20">
        <v>510</v>
      </c>
      <c r="Z20">
        <v>2325</v>
      </c>
      <c r="AA20">
        <v>13695</v>
      </c>
      <c r="AB20">
        <v>2352</v>
      </c>
      <c r="AC20">
        <v>0</v>
      </c>
      <c r="AD20">
        <v>0</v>
      </c>
      <c r="AE20">
        <v>0</v>
      </c>
      <c r="AF20">
        <v>4480</v>
      </c>
      <c r="AG20">
        <v>0</v>
      </c>
      <c r="AH20">
        <v>0</v>
      </c>
      <c r="AI20">
        <v>0</v>
      </c>
      <c r="AJ20">
        <v>1920</v>
      </c>
      <c r="AK20">
        <v>0</v>
      </c>
      <c r="AL20" s="12">
        <f>R20+S20+W20+X20</f>
        <v>14479</v>
      </c>
      <c r="AM20" s="13">
        <f>IF(AL20&gt;0,AF20/AL20,0)</f>
        <v>0.30941363353822776</v>
      </c>
      <c r="AN20" s="13">
        <f>IF(M20&gt;0,(AF20+AG20+AJ20+AK20)/M20,0)</f>
        <v>0.16108328509224534</v>
      </c>
      <c r="AO20">
        <v>5211</v>
      </c>
      <c r="AP20">
        <v>6720</v>
      </c>
      <c r="AQ20">
        <v>0</v>
      </c>
      <c r="AR20">
        <v>0</v>
      </c>
      <c r="AS20">
        <v>97</v>
      </c>
      <c r="AT20">
        <v>92</v>
      </c>
      <c r="AU20">
        <v>23</v>
      </c>
      <c r="AV20">
        <v>5</v>
      </c>
      <c r="AW20">
        <v>13</v>
      </c>
      <c r="AX20">
        <v>18</v>
      </c>
      <c r="AY20">
        <v>243</v>
      </c>
      <c r="AZ20">
        <v>0</v>
      </c>
      <c r="BA20">
        <v>823</v>
      </c>
      <c r="BB20">
        <v>17</v>
      </c>
      <c r="BC20">
        <v>16</v>
      </c>
      <c r="BD20">
        <v>1</v>
      </c>
      <c r="BE20">
        <v>22</v>
      </c>
      <c r="BF20">
        <v>21</v>
      </c>
    </row>
    <row r="21" spans="1:58">
      <c r="A21" t="s">
        <v>729</v>
      </c>
      <c r="B21">
        <v>11</v>
      </c>
      <c r="C21">
        <v>1</v>
      </c>
      <c r="D21" t="s">
        <v>731</v>
      </c>
      <c r="E21">
        <v>2</v>
      </c>
      <c r="F21" t="s">
        <v>722</v>
      </c>
      <c r="G21">
        <v>59</v>
      </c>
      <c r="H21">
        <v>67</v>
      </c>
      <c r="I21">
        <v>22</v>
      </c>
      <c r="J21">
        <v>15</v>
      </c>
      <c r="K21">
        <v>3</v>
      </c>
      <c r="L21">
        <v>4</v>
      </c>
      <c r="M21">
        <v>46531</v>
      </c>
      <c r="N21">
        <v>6360</v>
      </c>
      <c r="O21" s="12">
        <f>M21-N21</f>
        <v>40171</v>
      </c>
      <c r="P21">
        <v>236214</v>
      </c>
      <c r="Q21">
        <v>196043</v>
      </c>
      <c r="R21">
        <v>13343</v>
      </c>
      <c r="S21">
        <v>1600</v>
      </c>
      <c r="T21">
        <v>5030</v>
      </c>
      <c r="U21">
        <v>2270</v>
      </c>
      <c r="V21">
        <v>670</v>
      </c>
      <c r="W21">
        <v>2520</v>
      </c>
      <c r="X21">
        <v>1190</v>
      </c>
      <c r="Y21">
        <v>500</v>
      </c>
      <c r="Z21">
        <v>2150</v>
      </c>
      <c r="AA21">
        <v>14570</v>
      </c>
      <c r="AB21">
        <v>2688</v>
      </c>
      <c r="AC21">
        <v>0</v>
      </c>
      <c r="AD21">
        <v>0</v>
      </c>
      <c r="AE21">
        <v>0</v>
      </c>
      <c r="AF21">
        <v>4480</v>
      </c>
      <c r="AG21">
        <v>0</v>
      </c>
      <c r="AH21">
        <v>0</v>
      </c>
      <c r="AI21">
        <v>0</v>
      </c>
      <c r="AJ21">
        <v>1880</v>
      </c>
      <c r="AK21">
        <v>0</v>
      </c>
      <c r="AL21" s="12">
        <f>R21+S21+W21+X21</f>
        <v>18653</v>
      </c>
      <c r="AM21" s="13">
        <f>IF(AL21&gt;0,AF21/AL21,0)</f>
        <v>0.24017584302793116</v>
      </c>
      <c r="AN21" s="13">
        <f>IF(M21&gt;0,(AF21+AG21+AJ21+AK21)/M21,0)</f>
        <v>0.13668307150071995</v>
      </c>
      <c r="AO21">
        <v>5208</v>
      </c>
      <c r="AP21">
        <v>6770</v>
      </c>
      <c r="AQ21">
        <v>0</v>
      </c>
      <c r="AR21">
        <v>0</v>
      </c>
      <c r="AS21">
        <v>97</v>
      </c>
      <c r="AT21">
        <v>91</v>
      </c>
      <c r="AU21">
        <v>23</v>
      </c>
      <c r="AV21">
        <v>5</v>
      </c>
      <c r="AW21">
        <v>13</v>
      </c>
      <c r="AX21">
        <v>18</v>
      </c>
      <c r="AY21">
        <v>259</v>
      </c>
      <c r="AZ21">
        <v>1000</v>
      </c>
      <c r="BA21">
        <v>82</v>
      </c>
      <c r="BB21">
        <v>16</v>
      </c>
      <c r="BC21">
        <v>18</v>
      </c>
      <c r="BD21">
        <v>1</v>
      </c>
      <c r="BE21">
        <v>25</v>
      </c>
      <c r="BF21">
        <v>22</v>
      </c>
    </row>
    <row r="22" spans="1:58">
      <c r="A22" t="s">
        <v>729</v>
      </c>
      <c r="B22">
        <v>12</v>
      </c>
      <c r="C22">
        <v>1</v>
      </c>
      <c r="D22" t="s">
        <v>731</v>
      </c>
      <c r="E22">
        <v>1</v>
      </c>
      <c r="F22" t="s">
        <v>722</v>
      </c>
      <c r="G22">
        <v>67</v>
      </c>
      <c r="H22">
        <v>74</v>
      </c>
      <c r="I22">
        <v>23</v>
      </c>
      <c r="J22">
        <v>18</v>
      </c>
      <c r="K22">
        <v>3</v>
      </c>
      <c r="L22">
        <v>2</v>
      </c>
      <c r="M22">
        <v>57178</v>
      </c>
      <c r="N22">
        <v>6400</v>
      </c>
      <c r="O22" s="12">
        <f>M22-N22</f>
        <v>50778</v>
      </c>
      <c r="P22">
        <v>286992</v>
      </c>
      <c r="Q22">
        <v>236214</v>
      </c>
      <c r="R22">
        <v>17466</v>
      </c>
      <c r="S22">
        <v>1600</v>
      </c>
      <c r="T22">
        <v>6480</v>
      </c>
      <c r="U22">
        <v>2640</v>
      </c>
      <c r="V22">
        <v>1020</v>
      </c>
      <c r="W22">
        <v>2520</v>
      </c>
      <c r="X22">
        <v>1190</v>
      </c>
      <c r="Y22">
        <v>0</v>
      </c>
      <c r="Z22">
        <v>2075</v>
      </c>
      <c r="AA22">
        <v>19835</v>
      </c>
      <c r="AB22">
        <v>2352</v>
      </c>
      <c r="AC22">
        <v>0</v>
      </c>
      <c r="AD22">
        <v>0</v>
      </c>
      <c r="AE22">
        <v>0</v>
      </c>
      <c r="AF22">
        <v>4480</v>
      </c>
      <c r="AG22">
        <v>0</v>
      </c>
      <c r="AH22">
        <v>0</v>
      </c>
      <c r="AI22">
        <v>0</v>
      </c>
      <c r="AJ22">
        <v>1920</v>
      </c>
      <c r="AK22">
        <v>0</v>
      </c>
      <c r="AL22" s="12">
        <f>R22+S22+W22+X22</f>
        <v>22776</v>
      </c>
      <c r="AM22" s="13">
        <f>IF(AL22&gt;0,AF22/AL22,0)</f>
        <v>0.19669827889005972</v>
      </c>
      <c r="AN22" s="13">
        <f>IF(M22&gt;0,(AF22+AG22+AJ22+AK22)/M22,0)</f>
        <v>0.11193116233516387</v>
      </c>
      <c r="AO22">
        <v>4979</v>
      </c>
      <c r="AP22">
        <v>6840</v>
      </c>
      <c r="AQ22">
        <v>0</v>
      </c>
      <c r="AR22">
        <v>0</v>
      </c>
      <c r="AS22">
        <v>97</v>
      </c>
      <c r="AT22">
        <v>91</v>
      </c>
      <c r="AU22">
        <v>22</v>
      </c>
      <c r="AV22">
        <v>5</v>
      </c>
      <c r="AW22">
        <v>13</v>
      </c>
      <c r="AX22">
        <v>18</v>
      </c>
      <c r="AY22">
        <v>306</v>
      </c>
      <c r="AZ22">
        <v>0</v>
      </c>
      <c r="BA22">
        <v>388</v>
      </c>
      <c r="BB22">
        <v>15</v>
      </c>
      <c r="BC22">
        <v>14</v>
      </c>
      <c r="BD22">
        <v>0</v>
      </c>
      <c r="BE22">
        <v>21</v>
      </c>
      <c r="BF22">
        <v>23</v>
      </c>
    </row>
    <row r="23" spans="1:58">
      <c r="A23" t="s">
        <v>729</v>
      </c>
      <c r="B23">
        <v>13</v>
      </c>
      <c r="C23">
        <v>1</v>
      </c>
      <c r="D23" t="s">
        <v>731</v>
      </c>
      <c r="E23">
        <v>4</v>
      </c>
      <c r="F23" t="s">
        <v>722</v>
      </c>
      <c r="G23">
        <v>74</v>
      </c>
      <c r="H23">
        <v>81</v>
      </c>
      <c r="I23">
        <v>20</v>
      </c>
      <c r="J23">
        <v>6</v>
      </c>
      <c r="K23">
        <v>6</v>
      </c>
      <c r="L23">
        <v>8</v>
      </c>
      <c r="M23">
        <v>23211</v>
      </c>
      <c r="N23">
        <v>6380</v>
      </c>
      <c r="O23" s="12">
        <f>M23-N23</f>
        <v>16831</v>
      </c>
      <c r="P23">
        <v>303823</v>
      </c>
      <c r="Q23">
        <v>286992</v>
      </c>
      <c r="R23">
        <v>6644</v>
      </c>
      <c r="S23">
        <v>1440</v>
      </c>
      <c r="T23">
        <v>150</v>
      </c>
      <c r="U23">
        <v>280</v>
      </c>
      <c r="V23">
        <v>0</v>
      </c>
      <c r="W23">
        <v>2520</v>
      </c>
      <c r="X23">
        <v>1190</v>
      </c>
      <c r="Y23">
        <v>0</v>
      </c>
      <c r="Z23">
        <v>1525</v>
      </c>
      <c r="AA23">
        <v>7110</v>
      </c>
      <c r="AB23">
        <v>2352</v>
      </c>
      <c r="AC23">
        <v>0</v>
      </c>
      <c r="AD23">
        <v>0</v>
      </c>
      <c r="AE23">
        <v>0</v>
      </c>
      <c r="AF23">
        <v>4480</v>
      </c>
      <c r="AG23">
        <v>0</v>
      </c>
      <c r="AH23">
        <v>0</v>
      </c>
      <c r="AI23">
        <v>0</v>
      </c>
      <c r="AJ23">
        <v>1900</v>
      </c>
      <c r="AK23">
        <v>0</v>
      </c>
      <c r="AL23" s="12">
        <f>R23+S23+W23+X23</f>
        <v>11794</v>
      </c>
      <c r="AM23" s="13">
        <f>IF(AL23&gt;0,AF23/AL23,0)</f>
        <v>0.37985416313379683</v>
      </c>
      <c r="AN23" s="13">
        <f>IF(M23&gt;0,(AF23+AG23+AJ23+AK23)/M23,0)</f>
        <v>0.27486967386153116</v>
      </c>
      <c r="AO23">
        <v>4539</v>
      </c>
      <c r="AP23">
        <v>6570</v>
      </c>
      <c r="AQ23">
        <v>0</v>
      </c>
      <c r="AR23">
        <v>0</v>
      </c>
      <c r="AS23">
        <v>97</v>
      </c>
      <c r="AT23">
        <v>92</v>
      </c>
      <c r="AU23">
        <v>20</v>
      </c>
      <c r="AV23">
        <v>5</v>
      </c>
      <c r="AW23">
        <v>13</v>
      </c>
      <c r="AX23">
        <v>18</v>
      </c>
      <c r="AY23">
        <v>67</v>
      </c>
      <c r="AZ23">
        <v>0</v>
      </c>
      <c r="BA23">
        <v>455</v>
      </c>
      <c r="BB23">
        <v>9</v>
      </c>
      <c r="BC23">
        <v>10</v>
      </c>
      <c r="BD23">
        <v>0</v>
      </c>
      <c r="BE23">
        <v>17</v>
      </c>
      <c r="BF23">
        <v>23</v>
      </c>
    </row>
    <row r="24" spans="1:58">
      <c r="A24" t="s">
        <v>729</v>
      </c>
      <c r="B24">
        <v>14</v>
      </c>
      <c r="C24">
        <v>1</v>
      </c>
      <c r="D24" t="s">
        <v>731</v>
      </c>
      <c r="E24">
        <v>4</v>
      </c>
      <c r="F24" t="s">
        <v>722</v>
      </c>
      <c r="G24">
        <v>81</v>
      </c>
      <c r="H24">
        <v>88</v>
      </c>
      <c r="I24">
        <v>21</v>
      </c>
      <c r="J24">
        <v>10</v>
      </c>
      <c r="K24">
        <v>5</v>
      </c>
      <c r="L24">
        <v>6</v>
      </c>
      <c r="M24">
        <v>26541</v>
      </c>
      <c r="N24">
        <v>6380</v>
      </c>
      <c r="O24" s="12">
        <f>M24-N24</f>
        <v>20161</v>
      </c>
      <c r="P24">
        <v>323984</v>
      </c>
      <c r="Q24">
        <v>303823</v>
      </c>
      <c r="R24">
        <v>9574</v>
      </c>
      <c r="S24">
        <v>1440</v>
      </c>
      <c r="T24">
        <v>570</v>
      </c>
      <c r="U24">
        <v>280</v>
      </c>
      <c r="V24">
        <v>270</v>
      </c>
      <c r="W24">
        <v>2520</v>
      </c>
      <c r="X24">
        <v>1190</v>
      </c>
      <c r="Y24">
        <v>0</v>
      </c>
      <c r="Z24">
        <v>1625</v>
      </c>
      <c r="AA24">
        <v>6720</v>
      </c>
      <c r="AB24">
        <v>2352</v>
      </c>
      <c r="AC24">
        <v>0</v>
      </c>
      <c r="AD24">
        <v>0</v>
      </c>
      <c r="AE24">
        <v>0</v>
      </c>
      <c r="AF24">
        <v>4480</v>
      </c>
      <c r="AG24">
        <v>0</v>
      </c>
      <c r="AH24">
        <v>0</v>
      </c>
      <c r="AI24">
        <v>0</v>
      </c>
      <c r="AJ24">
        <v>1900</v>
      </c>
      <c r="AK24">
        <v>0</v>
      </c>
      <c r="AL24" s="12">
        <f>R24+S24+W24+X24</f>
        <v>14724</v>
      </c>
      <c r="AM24" s="13">
        <f>IF(AL24&gt;0,AF24/AL24,0)</f>
        <v>0.30426514534093996</v>
      </c>
      <c r="AN24" s="13">
        <f>IF(M24&gt;0,(AF24+AG24+AJ24+AK24)/M24,0)</f>
        <v>0.24038280396367884</v>
      </c>
      <c r="AO24">
        <v>4294</v>
      </c>
      <c r="AP24">
        <v>6520</v>
      </c>
      <c r="AQ24">
        <v>0</v>
      </c>
      <c r="AR24">
        <v>0</v>
      </c>
      <c r="AS24">
        <v>97</v>
      </c>
      <c r="AT24">
        <v>92</v>
      </c>
      <c r="AU24">
        <v>19</v>
      </c>
      <c r="AV24">
        <v>5</v>
      </c>
      <c r="AW24">
        <v>13</v>
      </c>
      <c r="AX24">
        <v>18</v>
      </c>
      <c r="AY24">
        <v>115</v>
      </c>
      <c r="AZ24">
        <v>0</v>
      </c>
      <c r="BA24">
        <v>570</v>
      </c>
      <c r="BB24">
        <v>13</v>
      </c>
      <c r="BC24">
        <v>13</v>
      </c>
      <c r="BD24">
        <v>0</v>
      </c>
      <c r="BE24">
        <v>20</v>
      </c>
      <c r="BF24">
        <v>24</v>
      </c>
    </row>
    <row r="25" spans="1:58">
      <c r="A25" t="s">
        <v>729</v>
      </c>
      <c r="B25">
        <v>15</v>
      </c>
      <c r="C25">
        <v>1</v>
      </c>
      <c r="D25" t="s">
        <v>731</v>
      </c>
      <c r="E25">
        <v>3</v>
      </c>
      <c r="F25" t="s">
        <v>722</v>
      </c>
      <c r="G25">
        <v>88</v>
      </c>
      <c r="H25">
        <v>95</v>
      </c>
      <c r="I25">
        <v>20</v>
      </c>
      <c r="J25">
        <v>11</v>
      </c>
      <c r="K25">
        <v>3</v>
      </c>
      <c r="L25">
        <v>6</v>
      </c>
      <c r="M25">
        <v>27149</v>
      </c>
      <c r="N25">
        <v>6400</v>
      </c>
      <c r="O25" s="12">
        <f>M25-N25</f>
        <v>20749</v>
      </c>
      <c r="P25">
        <v>344733</v>
      </c>
      <c r="Q25">
        <v>323984</v>
      </c>
      <c r="R25">
        <v>9147</v>
      </c>
      <c r="S25">
        <v>1600</v>
      </c>
      <c r="T25">
        <v>1680</v>
      </c>
      <c r="U25">
        <v>350</v>
      </c>
      <c r="V25">
        <v>0</v>
      </c>
      <c r="W25">
        <v>2520</v>
      </c>
      <c r="X25">
        <v>1190</v>
      </c>
      <c r="Y25">
        <v>0</v>
      </c>
      <c r="Z25">
        <v>1700</v>
      </c>
      <c r="AA25">
        <v>6610</v>
      </c>
      <c r="AB25">
        <v>2352</v>
      </c>
      <c r="AC25">
        <v>0</v>
      </c>
      <c r="AD25">
        <v>0</v>
      </c>
      <c r="AE25">
        <v>0</v>
      </c>
      <c r="AF25">
        <v>4480</v>
      </c>
      <c r="AG25">
        <v>0</v>
      </c>
      <c r="AH25">
        <v>0</v>
      </c>
      <c r="AI25">
        <v>0</v>
      </c>
      <c r="AJ25">
        <v>1920</v>
      </c>
      <c r="AK25">
        <v>0</v>
      </c>
      <c r="AL25" s="12">
        <f>R25+S25+W25+X25</f>
        <v>14457</v>
      </c>
      <c r="AM25" s="13">
        <f>IF(AL25&gt;0,AF25/AL25,0)</f>
        <v>0.30988448502455557</v>
      </c>
      <c r="AN25" s="13">
        <f>IF(M25&gt;0,(AF25+AG25+AJ25+AK25)/M25,0)</f>
        <v>0.23573612287745405</v>
      </c>
      <c r="AO25">
        <v>4237</v>
      </c>
      <c r="AP25">
        <v>6440</v>
      </c>
      <c r="AQ25">
        <v>0</v>
      </c>
      <c r="AR25">
        <v>0</v>
      </c>
      <c r="AS25">
        <v>96</v>
      </c>
      <c r="AT25">
        <v>92</v>
      </c>
      <c r="AU25">
        <v>19</v>
      </c>
      <c r="AV25">
        <v>5</v>
      </c>
      <c r="AW25">
        <v>13</v>
      </c>
      <c r="AX25">
        <v>18</v>
      </c>
      <c r="AY25">
        <v>118</v>
      </c>
      <c r="AZ25">
        <v>0</v>
      </c>
      <c r="BA25">
        <v>688</v>
      </c>
      <c r="BB25">
        <v>11</v>
      </c>
      <c r="BC25">
        <v>11</v>
      </c>
      <c r="BD25">
        <v>0</v>
      </c>
      <c r="BE25">
        <v>18</v>
      </c>
      <c r="BF25">
        <v>25</v>
      </c>
    </row>
    <row r="26" spans="1:58">
      <c r="A26" t="s">
        <v>729</v>
      </c>
      <c r="B26">
        <v>16</v>
      </c>
      <c r="C26">
        <v>1</v>
      </c>
      <c r="D26" t="s">
        <v>731</v>
      </c>
      <c r="E26">
        <v>4</v>
      </c>
      <c r="F26" t="s">
        <v>722</v>
      </c>
      <c r="G26">
        <v>95</v>
      </c>
      <c r="H26">
        <v>101</v>
      </c>
      <c r="I26">
        <v>20</v>
      </c>
      <c r="J26">
        <v>11</v>
      </c>
      <c r="K26">
        <v>2</v>
      </c>
      <c r="L26">
        <v>7</v>
      </c>
      <c r="M26">
        <v>25577</v>
      </c>
      <c r="N26">
        <v>5890</v>
      </c>
      <c r="O26" s="12">
        <f>M26-N26</f>
        <v>19687</v>
      </c>
      <c r="P26">
        <v>364420</v>
      </c>
      <c r="Q26">
        <v>344733</v>
      </c>
      <c r="R26">
        <v>9006</v>
      </c>
      <c r="S26">
        <v>1600</v>
      </c>
      <c r="T26">
        <v>1680</v>
      </c>
      <c r="U26">
        <v>280</v>
      </c>
      <c r="V26">
        <v>0</v>
      </c>
      <c r="W26">
        <v>2520</v>
      </c>
      <c r="X26">
        <v>1190</v>
      </c>
      <c r="Y26">
        <v>0</v>
      </c>
      <c r="Z26">
        <v>1300</v>
      </c>
      <c r="AA26">
        <v>5985</v>
      </c>
      <c r="AB26">
        <v>2016</v>
      </c>
      <c r="AC26">
        <v>0</v>
      </c>
      <c r="AD26">
        <v>0</v>
      </c>
      <c r="AE26">
        <v>0</v>
      </c>
      <c r="AF26">
        <v>4480</v>
      </c>
      <c r="AG26">
        <v>0</v>
      </c>
      <c r="AH26">
        <v>0</v>
      </c>
      <c r="AI26">
        <v>0</v>
      </c>
      <c r="AJ26">
        <v>1410</v>
      </c>
      <c r="AK26">
        <v>0</v>
      </c>
      <c r="AL26" s="12">
        <f>R26+S26+W26+X26</f>
        <v>14316</v>
      </c>
      <c r="AM26" s="13">
        <f>IF(AL26&gt;0,AF26/AL26,0)</f>
        <v>0.31293657446214024</v>
      </c>
      <c r="AN26" s="13">
        <f>IF(M26&gt;0,(AF26+AG26+AJ26+AK26)/M26,0)</f>
        <v>0.23028502169918286</v>
      </c>
      <c r="AO26">
        <v>4915</v>
      </c>
      <c r="AP26">
        <v>6370</v>
      </c>
      <c r="AQ26">
        <v>0</v>
      </c>
      <c r="AR26">
        <v>0</v>
      </c>
      <c r="AS26">
        <v>97</v>
      </c>
      <c r="AT26">
        <v>92</v>
      </c>
      <c r="AU26">
        <v>22</v>
      </c>
      <c r="AV26">
        <v>5</v>
      </c>
      <c r="AW26">
        <v>13</v>
      </c>
      <c r="AX26">
        <v>18</v>
      </c>
      <c r="AY26">
        <v>96</v>
      </c>
      <c r="AZ26">
        <v>0</v>
      </c>
      <c r="BA26">
        <v>784</v>
      </c>
      <c r="BB26">
        <v>15</v>
      </c>
      <c r="BC26">
        <v>13</v>
      </c>
      <c r="BD26">
        <v>4</v>
      </c>
      <c r="BE26">
        <v>15</v>
      </c>
      <c r="BF26">
        <v>25</v>
      </c>
    </row>
    <row r="27" spans="1:58">
      <c r="A27" t="s">
        <v>729</v>
      </c>
      <c r="B27">
        <v>17</v>
      </c>
      <c r="C27">
        <v>1</v>
      </c>
      <c r="D27" t="s">
        <v>731</v>
      </c>
      <c r="E27">
        <v>1</v>
      </c>
      <c r="F27" t="s">
        <v>722</v>
      </c>
      <c r="G27">
        <v>101</v>
      </c>
      <c r="H27">
        <v>108</v>
      </c>
      <c r="I27">
        <v>19</v>
      </c>
      <c r="J27">
        <v>8</v>
      </c>
      <c r="K27">
        <v>6</v>
      </c>
      <c r="L27">
        <v>5</v>
      </c>
      <c r="M27">
        <v>27181</v>
      </c>
      <c r="N27">
        <v>6340</v>
      </c>
      <c r="O27" s="12">
        <f>M27-N27</f>
        <v>20841</v>
      </c>
      <c r="P27">
        <v>385261</v>
      </c>
      <c r="Q27">
        <v>364420</v>
      </c>
      <c r="R27">
        <v>7929</v>
      </c>
      <c r="S27">
        <v>1760</v>
      </c>
      <c r="T27">
        <v>300</v>
      </c>
      <c r="U27">
        <v>2640</v>
      </c>
      <c r="V27">
        <v>1020</v>
      </c>
      <c r="W27">
        <v>2520</v>
      </c>
      <c r="X27">
        <v>1190</v>
      </c>
      <c r="Y27">
        <v>0</v>
      </c>
      <c r="Z27">
        <v>1850</v>
      </c>
      <c r="AA27">
        <v>5620</v>
      </c>
      <c r="AB27">
        <v>2352</v>
      </c>
      <c r="AC27">
        <v>0</v>
      </c>
      <c r="AD27">
        <v>0</v>
      </c>
      <c r="AE27">
        <v>0</v>
      </c>
      <c r="AF27">
        <v>4480</v>
      </c>
      <c r="AG27">
        <v>0</v>
      </c>
      <c r="AH27">
        <v>0</v>
      </c>
      <c r="AI27">
        <v>0</v>
      </c>
      <c r="AJ27">
        <v>1860</v>
      </c>
      <c r="AK27">
        <v>0</v>
      </c>
      <c r="AL27" s="12">
        <f>R27+S27+W27+X27</f>
        <v>13399</v>
      </c>
      <c r="AM27" s="13">
        <f>IF(AL27&gt;0,AF27/AL27,0)</f>
        <v>0.3343533099485036</v>
      </c>
      <c r="AN27" s="13">
        <f>IF(M27&gt;0,(AF27+AG27+AJ27+AK27)/M27,0)</f>
        <v>0.23325116809536073</v>
      </c>
      <c r="AO27">
        <v>4912</v>
      </c>
      <c r="AP27">
        <v>6440</v>
      </c>
      <c r="AQ27">
        <v>0</v>
      </c>
      <c r="AR27">
        <v>0</v>
      </c>
      <c r="AS27">
        <v>96</v>
      </c>
      <c r="AT27">
        <v>92</v>
      </c>
      <c r="AU27">
        <v>22</v>
      </c>
      <c r="AV27">
        <v>5</v>
      </c>
      <c r="AW27">
        <v>13</v>
      </c>
      <c r="AX27">
        <v>18</v>
      </c>
      <c r="AY27">
        <v>110</v>
      </c>
      <c r="AZ27">
        <v>0</v>
      </c>
      <c r="BA27">
        <v>894</v>
      </c>
      <c r="BB27">
        <v>11</v>
      </c>
      <c r="BC27">
        <v>13</v>
      </c>
      <c r="BD27">
        <v>2</v>
      </c>
      <c r="BE27">
        <v>18</v>
      </c>
      <c r="BF27">
        <v>26</v>
      </c>
    </row>
    <row r="28" spans="1:58">
      <c r="A28" t="s">
        <v>729</v>
      </c>
      <c r="B28">
        <v>18</v>
      </c>
      <c r="C28">
        <v>1</v>
      </c>
      <c r="D28" t="s">
        <v>731</v>
      </c>
      <c r="E28">
        <v>1</v>
      </c>
      <c r="F28" t="s">
        <v>722</v>
      </c>
      <c r="G28">
        <v>108</v>
      </c>
      <c r="H28">
        <v>115</v>
      </c>
      <c r="I28">
        <v>22</v>
      </c>
      <c r="J28">
        <v>12</v>
      </c>
      <c r="K28">
        <v>6</v>
      </c>
      <c r="L28">
        <v>4</v>
      </c>
      <c r="M28">
        <v>42178</v>
      </c>
      <c r="N28">
        <v>6360</v>
      </c>
      <c r="O28" s="12">
        <f>M28-N28</f>
        <v>35818</v>
      </c>
      <c r="P28">
        <v>421079</v>
      </c>
      <c r="Q28">
        <v>385261</v>
      </c>
      <c r="R28">
        <v>11791</v>
      </c>
      <c r="S28">
        <v>1760</v>
      </c>
      <c r="T28">
        <v>8150</v>
      </c>
      <c r="U28">
        <v>2640</v>
      </c>
      <c r="V28">
        <v>1150</v>
      </c>
      <c r="W28">
        <v>2520</v>
      </c>
      <c r="X28">
        <v>1190</v>
      </c>
      <c r="Y28">
        <v>0</v>
      </c>
      <c r="Z28">
        <v>2125</v>
      </c>
      <c r="AA28">
        <v>8500</v>
      </c>
      <c r="AB28">
        <v>2352</v>
      </c>
      <c r="AC28">
        <v>0</v>
      </c>
      <c r="AD28">
        <v>0</v>
      </c>
      <c r="AE28">
        <v>0</v>
      </c>
      <c r="AF28">
        <v>4480</v>
      </c>
      <c r="AG28">
        <v>0</v>
      </c>
      <c r="AH28">
        <v>0</v>
      </c>
      <c r="AI28">
        <v>0</v>
      </c>
      <c r="AJ28">
        <v>1880</v>
      </c>
      <c r="AK28">
        <v>0</v>
      </c>
      <c r="AL28" s="12">
        <f>R28+S28+W28+X28</f>
        <v>17261</v>
      </c>
      <c r="AM28" s="13">
        <f>IF(AL28&gt;0,AF28/AL28,0)</f>
        <v>0.25954463820172646</v>
      </c>
      <c r="AN28" s="13">
        <f>IF(M28&gt;0,(AF28+AG28+AJ28+AK28)/M28,0)</f>
        <v>0.150789511119541</v>
      </c>
      <c r="AO28">
        <v>4842</v>
      </c>
      <c r="AP28">
        <v>7530</v>
      </c>
      <c r="AQ28">
        <v>0</v>
      </c>
      <c r="AR28">
        <v>0</v>
      </c>
      <c r="AS28">
        <v>96</v>
      </c>
      <c r="AT28">
        <v>92</v>
      </c>
      <c r="AU28">
        <v>22</v>
      </c>
      <c r="AV28">
        <v>5</v>
      </c>
      <c r="AW28">
        <v>13</v>
      </c>
      <c r="AX28">
        <v>18</v>
      </c>
      <c r="AY28">
        <v>332</v>
      </c>
      <c r="AZ28">
        <v>0</v>
      </c>
      <c r="BA28">
        <v>1226</v>
      </c>
      <c r="BB28">
        <v>20</v>
      </c>
      <c r="BC28">
        <v>19</v>
      </c>
      <c r="BD28">
        <v>2</v>
      </c>
      <c r="BE28">
        <v>24</v>
      </c>
      <c r="BF28">
        <v>27</v>
      </c>
    </row>
    <row r="29" spans="1:58">
      <c r="A29" t="s">
        <v>729</v>
      </c>
      <c r="B29">
        <v>19</v>
      </c>
      <c r="C29">
        <v>1</v>
      </c>
      <c r="D29" t="s">
        <v>731</v>
      </c>
      <c r="E29">
        <v>1</v>
      </c>
      <c r="F29" t="s">
        <v>722</v>
      </c>
      <c r="G29">
        <v>115</v>
      </c>
      <c r="H29">
        <v>122</v>
      </c>
      <c r="I29">
        <v>21</v>
      </c>
      <c r="J29">
        <v>11</v>
      </c>
      <c r="K29">
        <v>6</v>
      </c>
      <c r="L29">
        <v>4</v>
      </c>
      <c r="M29">
        <v>33218</v>
      </c>
      <c r="N29">
        <v>6380</v>
      </c>
      <c r="O29" s="12">
        <f>M29-N29</f>
        <v>26838</v>
      </c>
      <c r="P29">
        <v>447917</v>
      </c>
      <c r="Q29">
        <v>421079</v>
      </c>
      <c r="R29">
        <v>10616</v>
      </c>
      <c r="S29">
        <v>1440</v>
      </c>
      <c r="T29">
        <v>750</v>
      </c>
      <c r="U29">
        <v>2640</v>
      </c>
      <c r="V29">
        <v>750</v>
      </c>
      <c r="W29">
        <v>2520</v>
      </c>
      <c r="X29">
        <v>1190</v>
      </c>
      <c r="Y29">
        <v>0</v>
      </c>
      <c r="Z29">
        <v>2175</v>
      </c>
      <c r="AA29">
        <v>8785</v>
      </c>
      <c r="AB29">
        <v>2352</v>
      </c>
      <c r="AC29">
        <v>0</v>
      </c>
      <c r="AD29">
        <v>0</v>
      </c>
      <c r="AE29">
        <v>0</v>
      </c>
      <c r="AF29">
        <v>4480</v>
      </c>
      <c r="AG29">
        <v>0</v>
      </c>
      <c r="AH29">
        <v>0</v>
      </c>
      <c r="AI29">
        <v>0</v>
      </c>
      <c r="AJ29">
        <v>1900</v>
      </c>
      <c r="AK29">
        <v>0</v>
      </c>
      <c r="AL29" s="12">
        <f>R29+S29+W29+X29</f>
        <v>15766</v>
      </c>
      <c r="AM29" s="13">
        <f>IF(AL29&gt;0,AF29/AL29,0)</f>
        <v>0.2841557782570088</v>
      </c>
      <c r="AN29" s="13">
        <f>IF(M29&gt;0,(AF29+AG29+AJ29+AK29)/M29,0)</f>
        <v>0.19206454331988682</v>
      </c>
      <c r="AO29">
        <v>4234</v>
      </c>
      <c r="AP29">
        <v>7440</v>
      </c>
      <c r="AQ29">
        <v>0</v>
      </c>
      <c r="AR29">
        <v>0</v>
      </c>
      <c r="AS29">
        <v>96</v>
      </c>
      <c r="AT29">
        <v>92</v>
      </c>
      <c r="AU29">
        <v>19</v>
      </c>
      <c r="AV29">
        <v>5</v>
      </c>
      <c r="AW29">
        <v>13</v>
      </c>
      <c r="AX29">
        <v>18</v>
      </c>
      <c r="AY29">
        <v>146</v>
      </c>
      <c r="AZ29">
        <v>0</v>
      </c>
      <c r="BA29">
        <v>1372</v>
      </c>
      <c r="BB29">
        <v>17</v>
      </c>
      <c r="BC29">
        <v>17</v>
      </c>
      <c r="BD29">
        <v>0</v>
      </c>
      <c r="BE29">
        <v>24</v>
      </c>
      <c r="BF29">
        <v>27</v>
      </c>
    </row>
    <row r="30" spans="1:58">
      <c r="A30" t="s">
        <v>729</v>
      </c>
      <c r="B30">
        <v>20</v>
      </c>
      <c r="C30">
        <v>1</v>
      </c>
      <c r="D30" t="s">
        <v>731</v>
      </c>
      <c r="E30">
        <v>4</v>
      </c>
      <c r="F30" t="s">
        <v>722</v>
      </c>
      <c r="G30">
        <v>122</v>
      </c>
      <c r="H30">
        <v>129</v>
      </c>
      <c r="I30">
        <v>22</v>
      </c>
      <c r="J30">
        <v>9</v>
      </c>
      <c r="K30">
        <v>5</v>
      </c>
      <c r="L30">
        <v>8</v>
      </c>
      <c r="M30">
        <v>25420</v>
      </c>
      <c r="N30">
        <v>5890</v>
      </c>
      <c r="O30" s="12">
        <f>M30-N30</f>
        <v>19530</v>
      </c>
      <c r="P30">
        <v>467447</v>
      </c>
      <c r="Q30">
        <v>447917</v>
      </c>
      <c r="R30">
        <v>8403</v>
      </c>
      <c r="S30">
        <v>1600</v>
      </c>
      <c r="T30">
        <v>1300</v>
      </c>
      <c r="U30">
        <v>280</v>
      </c>
      <c r="V30">
        <v>400</v>
      </c>
      <c r="W30">
        <v>2520</v>
      </c>
      <c r="X30">
        <v>1190</v>
      </c>
      <c r="Y30">
        <v>0</v>
      </c>
      <c r="Z30">
        <v>1375</v>
      </c>
      <c r="AA30">
        <v>6000</v>
      </c>
      <c r="AB30">
        <v>2352</v>
      </c>
      <c r="AC30">
        <v>0</v>
      </c>
      <c r="AD30">
        <v>0</v>
      </c>
      <c r="AE30">
        <v>0</v>
      </c>
      <c r="AF30">
        <v>4480</v>
      </c>
      <c r="AG30">
        <v>0</v>
      </c>
      <c r="AH30">
        <v>0</v>
      </c>
      <c r="AI30">
        <v>0</v>
      </c>
      <c r="AJ30">
        <v>1410</v>
      </c>
      <c r="AK30">
        <v>0</v>
      </c>
      <c r="AL30" s="12">
        <f>R30+S30+W30+X30</f>
        <v>13713</v>
      </c>
      <c r="AM30" s="13">
        <f>IF(AL30&gt;0,AF30/AL30,0)</f>
        <v>0.3266972945380296</v>
      </c>
      <c r="AN30" s="13">
        <f>IF(M30&gt;0,(AF30+AG30+AJ30+AK30)/M30,0)</f>
        <v>0.23170731707317074</v>
      </c>
      <c r="AO30">
        <v>4276</v>
      </c>
      <c r="AP30">
        <v>7390</v>
      </c>
      <c r="AQ30">
        <v>0</v>
      </c>
      <c r="AR30">
        <v>0</v>
      </c>
      <c r="AS30">
        <v>96</v>
      </c>
      <c r="AT30">
        <v>92</v>
      </c>
      <c r="AU30">
        <v>19</v>
      </c>
      <c r="AV30">
        <v>5</v>
      </c>
      <c r="AW30">
        <v>13</v>
      </c>
      <c r="AX30">
        <v>18</v>
      </c>
      <c r="AY30">
        <v>78</v>
      </c>
      <c r="AZ30">
        <v>0</v>
      </c>
      <c r="BA30">
        <v>1450</v>
      </c>
      <c r="BB30">
        <v>14</v>
      </c>
      <c r="BC30">
        <v>13</v>
      </c>
      <c r="BD30">
        <v>3</v>
      </c>
      <c r="BE30">
        <v>17</v>
      </c>
      <c r="BF30">
        <v>28</v>
      </c>
    </row>
    <row r="31" spans="1:58">
      <c r="A31" t="s">
        <v>729</v>
      </c>
      <c r="B31">
        <v>21</v>
      </c>
      <c r="C31">
        <v>1</v>
      </c>
      <c r="D31" t="s">
        <v>731</v>
      </c>
      <c r="E31">
        <v>2</v>
      </c>
      <c r="F31" t="s">
        <v>722</v>
      </c>
      <c r="G31">
        <v>129</v>
      </c>
      <c r="H31">
        <v>137</v>
      </c>
      <c r="I31">
        <v>22</v>
      </c>
      <c r="J31">
        <v>14</v>
      </c>
      <c r="K31">
        <v>4</v>
      </c>
      <c r="L31">
        <v>4</v>
      </c>
      <c r="M31">
        <v>37749</v>
      </c>
      <c r="N31">
        <v>5440</v>
      </c>
      <c r="O31" s="12">
        <f>M31-N31</f>
        <v>32309</v>
      </c>
      <c r="P31">
        <v>499756</v>
      </c>
      <c r="Q31">
        <v>467447</v>
      </c>
      <c r="R31">
        <v>11821</v>
      </c>
      <c r="S31">
        <v>1600</v>
      </c>
      <c r="T31">
        <v>5030</v>
      </c>
      <c r="U31">
        <v>2270</v>
      </c>
      <c r="V31">
        <v>400</v>
      </c>
      <c r="W31">
        <v>2520</v>
      </c>
      <c r="X31">
        <v>1190</v>
      </c>
      <c r="Y31">
        <v>0</v>
      </c>
      <c r="Z31">
        <v>2275</v>
      </c>
      <c r="AA31">
        <v>7955</v>
      </c>
      <c r="AB31">
        <v>2688</v>
      </c>
      <c r="AC31">
        <v>0</v>
      </c>
      <c r="AD31">
        <v>0</v>
      </c>
      <c r="AE31">
        <v>0</v>
      </c>
      <c r="AF31">
        <v>4480</v>
      </c>
      <c r="AG31">
        <v>0</v>
      </c>
      <c r="AH31">
        <v>0</v>
      </c>
      <c r="AI31">
        <v>0</v>
      </c>
      <c r="AJ31">
        <v>960</v>
      </c>
      <c r="AK31">
        <v>0</v>
      </c>
      <c r="AL31" s="12">
        <f>R31+S31+W31+X31</f>
        <v>17131</v>
      </c>
      <c r="AM31" s="13">
        <f>IF(AL31&gt;0,AF31/AL31,0)</f>
        <v>0.2615142139980153</v>
      </c>
      <c r="AN31" s="13">
        <f>IF(M31&gt;0,(AF31+AG31+AJ31+AK31)/M31,0)</f>
        <v>0.14410977774245676</v>
      </c>
      <c r="AO31">
        <v>4520</v>
      </c>
      <c r="AP31">
        <v>7360</v>
      </c>
      <c r="AQ31">
        <v>0</v>
      </c>
      <c r="AR31">
        <v>0</v>
      </c>
      <c r="AS31">
        <v>97</v>
      </c>
      <c r="AT31">
        <v>92</v>
      </c>
      <c r="AU31">
        <v>20</v>
      </c>
      <c r="AV31">
        <v>5</v>
      </c>
      <c r="AW31">
        <v>13</v>
      </c>
      <c r="AX31">
        <v>18</v>
      </c>
      <c r="AY31">
        <v>165</v>
      </c>
      <c r="AZ31">
        <v>0</v>
      </c>
      <c r="BA31">
        <v>1615</v>
      </c>
      <c r="BB31">
        <v>16</v>
      </c>
      <c r="BC31">
        <v>18</v>
      </c>
      <c r="BD31">
        <v>2</v>
      </c>
      <c r="BE31">
        <v>24</v>
      </c>
      <c r="BF31">
        <v>28</v>
      </c>
    </row>
    <row r="32" spans="1:58">
      <c r="A32" t="s">
        <v>729</v>
      </c>
      <c r="B32">
        <v>22</v>
      </c>
      <c r="C32">
        <v>1</v>
      </c>
      <c r="D32" t="s">
        <v>731</v>
      </c>
      <c r="E32">
        <v>7</v>
      </c>
      <c r="F32" t="s">
        <v>732</v>
      </c>
      <c r="G32">
        <v>137</v>
      </c>
      <c r="H32">
        <v>144</v>
      </c>
      <c r="I32">
        <v>21</v>
      </c>
      <c r="J32">
        <v>8</v>
      </c>
      <c r="K32">
        <v>2</v>
      </c>
      <c r="L32">
        <v>11</v>
      </c>
      <c r="M32">
        <v>24809</v>
      </c>
      <c r="N32">
        <v>6420</v>
      </c>
      <c r="O32" s="12">
        <f>M32-N32</f>
        <v>18389</v>
      </c>
      <c r="P32">
        <v>518145</v>
      </c>
      <c r="Q32">
        <v>499756</v>
      </c>
      <c r="R32">
        <v>7837</v>
      </c>
      <c r="S32">
        <v>1760</v>
      </c>
      <c r="T32">
        <v>1050</v>
      </c>
      <c r="U32">
        <v>70</v>
      </c>
      <c r="V32">
        <v>270</v>
      </c>
      <c r="W32">
        <v>2520</v>
      </c>
      <c r="X32">
        <v>1190</v>
      </c>
      <c r="Y32">
        <v>0</v>
      </c>
      <c r="Z32">
        <v>1750</v>
      </c>
      <c r="AA32">
        <v>6010</v>
      </c>
      <c r="AB32">
        <v>2352</v>
      </c>
      <c r="AC32">
        <v>0</v>
      </c>
      <c r="AD32">
        <v>0</v>
      </c>
      <c r="AE32">
        <v>0</v>
      </c>
      <c r="AF32">
        <v>4480</v>
      </c>
      <c r="AG32">
        <v>0</v>
      </c>
      <c r="AH32">
        <v>0</v>
      </c>
      <c r="AI32">
        <v>0</v>
      </c>
      <c r="AJ32">
        <v>1940</v>
      </c>
      <c r="AK32">
        <v>0</v>
      </c>
      <c r="AL32" s="12">
        <f>R32+S32+W32+X32</f>
        <v>13307</v>
      </c>
      <c r="AM32" s="13">
        <f>IF(AL32&gt;0,AF32/AL32,0)</f>
        <v>0.33666491320357705</v>
      </c>
      <c r="AN32" s="13">
        <f>IF(M32&gt;0,(AF32+AG32+AJ32+AK32)/M32,0)</f>
        <v>0.25877705671328954</v>
      </c>
      <c r="AO32">
        <v>4088</v>
      </c>
      <c r="AP32">
        <v>7310</v>
      </c>
      <c r="AQ32">
        <v>0</v>
      </c>
      <c r="AR32">
        <v>0</v>
      </c>
      <c r="AS32">
        <v>97</v>
      </c>
      <c r="AT32">
        <v>92</v>
      </c>
      <c r="AU32">
        <v>18</v>
      </c>
      <c r="AV32">
        <v>5</v>
      </c>
      <c r="AW32">
        <v>13</v>
      </c>
      <c r="AX32">
        <v>18</v>
      </c>
      <c r="AY32">
        <v>78</v>
      </c>
      <c r="AZ32">
        <v>0</v>
      </c>
      <c r="BA32">
        <v>1693</v>
      </c>
      <c r="BB32">
        <v>13</v>
      </c>
      <c r="BC32">
        <v>13</v>
      </c>
      <c r="BD32">
        <v>1</v>
      </c>
      <c r="BE32">
        <v>19</v>
      </c>
      <c r="BF32">
        <v>29</v>
      </c>
    </row>
    <row r="33" spans="1:58">
      <c r="A33" t="s">
        <v>729</v>
      </c>
      <c r="B33">
        <v>23</v>
      </c>
      <c r="C33">
        <v>2</v>
      </c>
      <c r="D33" t="s">
        <v>730</v>
      </c>
      <c r="E33">
        <v>1</v>
      </c>
      <c r="F33" t="s">
        <v>723</v>
      </c>
      <c r="G33">
        <v>144</v>
      </c>
      <c r="H33">
        <v>149</v>
      </c>
      <c r="I33">
        <v>17</v>
      </c>
      <c r="J33">
        <v>15</v>
      </c>
      <c r="K33">
        <v>0</v>
      </c>
      <c r="L33">
        <v>2</v>
      </c>
      <c r="M33">
        <v>31594</v>
      </c>
      <c r="N33">
        <v>5440</v>
      </c>
      <c r="O33" s="12">
        <f>M33-N33</f>
        <v>26154</v>
      </c>
      <c r="P33">
        <v>544299</v>
      </c>
      <c r="Q33">
        <v>518145</v>
      </c>
      <c r="R33">
        <v>12014</v>
      </c>
      <c r="S33">
        <v>1260</v>
      </c>
      <c r="T33">
        <v>1360</v>
      </c>
      <c r="U33">
        <v>2320</v>
      </c>
      <c r="V33">
        <v>1125</v>
      </c>
      <c r="W33">
        <v>2280</v>
      </c>
      <c r="X33">
        <v>1190</v>
      </c>
      <c r="Y33">
        <v>0</v>
      </c>
      <c r="Z33">
        <v>1350</v>
      </c>
      <c r="AA33">
        <v>7015</v>
      </c>
      <c r="AB33">
        <v>1680</v>
      </c>
      <c r="AC33">
        <v>0</v>
      </c>
      <c r="AD33">
        <v>0</v>
      </c>
      <c r="AE33">
        <v>0</v>
      </c>
      <c r="AF33">
        <v>4480</v>
      </c>
      <c r="AG33">
        <v>0</v>
      </c>
      <c r="AH33">
        <v>0</v>
      </c>
      <c r="AI33">
        <v>0</v>
      </c>
      <c r="AJ33">
        <v>960</v>
      </c>
      <c r="AK33">
        <v>0</v>
      </c>
      <c r="AL33" s="12">
        <f>R33+S33+W33+X33</f>
        <v>16744</v>
      </c>
      <c r="AM33" s="13">
        <f>IF(AL33&gt;0,AF33/AL33,0)</f>
        <v>0.26755852842809363</v>
      </c>
      <c r="AN33" s="13">
        <f>IF(M33&gt;0,(AF33+AG33+AJ33+AK33)/M33,0)</f>
        <v>0.17218459201114136</v>
      </c>
      <c r="AO33">
        <v>4313</v>
      </c>
      <c r="AP33">
        <v>6070</v>
      </c>
      <c r="AQ33">
        <v>0</v>
      </c>
      <c r="AR33">
        <v>0</v>
      </c>
      <c r="AS33">
        <v>97</v>
      </c>
      <c r="AT33">
        <v>83</v>
      </c>
      <c r="AU33">
        <v>19</v>
      </c>
      <c r="AV33">
        <v>5</v>
      </c>
      <c r="AW33">
        <v>13</v>
      </c>
      <c r="AX33">
        <v>18</v>
      </c>
      <c r="AY33">
        <v>189</v>
      </c>
      <c r="AZ33">
        <v>0</v>
      </c>
      <c r="BA33">
        <v>1882</v>
      </c>
      <c r="BB33">
        <v>17</v>
      </c>
      <c r="BC33">
        <v>14</v>
      </c>
      <c r="BD33">
        <v>3</v>
      </c>
      <c r="BE33">
        <v>16</v>
      </c>
      <c r="BF33">
        <v>29</v>
      </c>
    </row>
    <row r="34" spans="1:58">
      <c r="A34" t="s">
        <v>729</v>
      </c>
      <c r="B34">
        <v>24</v>
      </c>
      <c r="C34">
        <v>1</v>
      </c>
      <c r="D34" t="s">
        <v>731</v>
      </c>
      <c r="E34">
        <v>2</v>
      </c>
      <c r="F34" t="s">
        <v>722</v>
      </c>
      <c r="G34">
        <v>149</v>
      </c>
      <c r="H34">
        <v>155</v>
      </c>
      <c r="I34">
        <v>18</v>
      </c>
      <c r="J34">
        <v>10</v>
      </c>
      <c r="K34">
        <v>0</v>
      </c>
      <c r="L34">
        <v>8</v>
      </c>
      <c r="M34">
        <v>25580</v>
      </c>
      <c r="N34">
        <v>6360</v>
      </c>
      <c r="O34" s="12">
        <f>M34-N34</f>
        <v>19220</v>
      </c>
      <c r="P34">
        <v>563519</v>
      </c>
      <c r="Q34">
        <v>544299</v>
      </c>
      <c r="R34">
        <v>8444</v>
      </c>
      <c r="S34">
        <v>1600</v>
      </c>
      <c r="T34">
        <v>150</v>
      </c>
      <c r="U34">
        <v>2270</v>
      </c>
      <c r="V34">
        <v>270</v>
      </c>
      <c r="W34">
        <v>2480</v>
      </c>
      <c r="X34">
        <v>1190</v>
      </c>
      <c r="Y34">
        <v>0</v>
      </c>
      <c r="Z34">
        <v>1650</v>
      </c>
      <c r="AA34">
        <v>5510</v>
      </c>
      <c r="AB34">
        <v>2016</v>
      </c>
      <c r="AC34">
        <v>0</v>
      </c>
      <c r="AD34">
        <v>0</v>
      </c>
      <c r="AE34">
        <v>0</v>
      </c>
      <c r="AF34">
        <v>4480</v>
      </c>
      <c r="AG34">
        <v>0</v>
      </c>
      <c r="AH34">
        <v>0</v>
      </c>
      <c r="AI34">
        <v>0</v>
      </c>
      <c r="AJ34">
        <v>1880</v>
      </c>
      <c r="AK34">
        <v>0</v>
      </c>
      <c r="AL34" s="12">
        <f>R34+S34+W34+X34</f>
        <v>13714</v>
      </c>
      <c r="AM34" s="13">
        <f>IF(AL34&gt;0,AF34/AL34,0)</f>
        <v>0.32667347236400757</v>
      </c>
      <c r="AN34" s="13">
        <f>IF(M34&gt;0,(AF34+AG34+AJ34+AK34)/M34,0)</f>
        <v>0.24863174354964818</v>
      </c>
      <c r="AO34">
        <v>4700</v>
      </c>
      <c r="AP34">
        <v>7310</v>
      </c>
      <c r="AQ34">
        <v>0</v>
      </c>
      <c r="AR34">
        <v>0</v>
      </c>
      <c r="AS34">
        <v>97</v>
      </c>
      <c r="AT34">
        <v>92</v>
      </c>
      <c r="AU34">
        <v>21</v>
      </c>
      <c r="AV34">
        <v>5</v>
      </c>
      <c r="AW34">
        <v>13</v>
      </c>
      <c r="AX34">
        <v>18</v>
      </c>
      <c r="AY34">
        <v>74</v>
      </c>
      <c r="AZ34">
        <v>0</v>
      </c>
      <c r="BA34">
        <v>1956</v>
      </c>
      <c r="BB34">
        <v>15</v>
      </c>
      <c r="BC34">
        <v>17</v>
      </c>
      <c r="BD34">
        <v>3</v>
      </c>
      <c r="BE34">
        <v>20</v>
      </c>
      <c r="BF34">
        <v>30</v>
      </c>
    </row>
    <row r="35" spans="1:58">
      <c r="A35" t="s">
        <v>729</v>
      </c>
      <c r="B35">
        <v>25</v>
      </c>
      <c r="C35">
        <v>1</v>
      </c>
      <c r="D35" t="s">
        <v>731</v>
      </c>
      <c r="E35">
        <v>2</v>
      </c>
      <c r="F35" t="s">
        <v>722</v>
      </c>
      <c r="G35">
        <v>155</v>
      </c>
      <c r="H35">
        <v>162</v>
      </c>
      <c r="I35">
        <v>19</v>
      </c>
      <c r="J35">
        <v>8</v>
      </c>
      <c r="K35">
        <v>7</v>
      </c>
      <c r="L35">
        <v>4</v>
      </c>
      <c r="M35">
        <v>25091</v>
      </c>
      <c r="N35">
        <v>6420</v>
      </c>
      <c r="O35" s="12">
        <f>M35-N35</f>
        <v>18671</v>
      </c>
      <c r="P35">
        <v>582190</v>
      </c>
      <c r="Q35">
        <v>563519</v>
      </c>
      <c r="R35">
        <v>8299</v>
      </c>
      <c r="S35">
        <v>1600</v>
      </c>
      <c r="T35">
        <v>90</v>
      </c>
      <c r="U35">
        <v>2270</v>
      </c>
      <c r="V35">
        <v>0</v>
      </c>
      <c r="W35">
        <v>2520</v>
      </c>
      <c r="X35">
        <v>1190</v>
      </c>
      <c r="Y35">
        <v>0</v>
      </c>
      <c r="Z35">
        <v>1200</v>
      </c>
      <c r="AA35">
        <v>5570</v>
      </c>
      <c r="AB35">
        <v>2352</v>
      </c>
      <c r="AC35">
        <v>0</v>
      </c>
      <c r="AD35">
        <v>0</v>
      </c>
      <c r="AE35">
        <v>0</v>
      </c>
      <c r="AF35">
        <v>4480</v>
      </c>
      <c r="AG35">
        <v>0</v>
      </c>
      <c r="AH35">
        <v>0</v>
      </c>
      <c r="AI35">
        <v>0</v>
      </c>
      <c r="AJ35">
        <v>1940</v>
      </c>
      <c r="AK35">
        <v>0</v>
      </c>
      <c r="AL35" s="12">
        <f>R35+S35+W35+X35</f>
        <v>13609</v>
      </c>
      <c r="AM35" s="13">
        <f>IF(AL35&gt;0,AF35/AL35,0)</f>
        <v>0.32919391579102064</v>
      </c>
      <c r="AN35" s="13">
        <f>IF(M35&gt;0,(AF35+AG35+AJ35+AK35)/M35,0)</f>
        <v>0.25586863815710814</v>
      </c>
      <c r="AO35">
        <v>4692</v>
      </c>
      <c r="AP35">
        <v>6950</v>
      </c>
      <c r="AQ35">
        <v>0</v>
      </c>
      <c r="AR35">
        <v>0</v>
      </c>
      <c r="AS35">
        <v>97</v>
      </c>
      <c r="AT35">
        <v>92</v>
      </c>
      <c r="AU35">
        <v>21</v>
      </c>
      <c r="AV35">
        <v>5</v>
      </c>
      <c r="AW35">
        <v>13</v>
      </c>
      <c r="AX35">
        <v>18</v>
      </c>
      <c r="AY35">
        <v>81</v>
      </c>
      <c r="AZ35">
        <v>0</v>
      </c>
      <c r="BA35">
        <v>2037</v>
      </c>
      <c r="BB35">
        <v>7</v>
      </c>
      <c r="BC35">
        <v>8</v>
      </c>
      <c r="BD35">
        <v>1</v>
      </c>
      <c r="BE35">
        <v>14</v>
      </c>
      <c r="BF35">
        <v>30</v>
      </c>
    </row>
    <row r="36" spans="1:58">
      <c r="A36" t="s">
        <v>729</v>
      </c>
      <c r="B36">
        <v>26</v>
      </c>
      <c r="C36">
        <v>1</v>
      </c>
      <c r="D36" t="s">
        <v>731</v>
      </c>
      <c r="E36">
        <v>5</v>
      </c>
      <c r="F36" t="s">
        <v>722</v>
      </c>
      <c r="G36">
        <v>162</v>
      </c>
      <c r="H36">
        <v>168</v>
      </c>
      <c r="I36">
        <v>20</v>
      </c>
      <c r="J36">
        <v>7</v>
      </c>
      <c r="K36">
        <v>6</v>
      </c>
      <c r="L36">
        <v>7</v>
      </c>
      <c r="M36">
        <v>23027</v>
      </c>
      <c r="N36">
        <v>5450</v>
      </c>
      <c r="O36" s="12">
        <f>M36-N36</f>
        <v>17577</v>
      </c>
      <c r="P36">
        <v>599767</v>
      </c>
      <c r="Q36">
        <v>582190</v>
      </c>
      <c r="R36">
        <v>7111</v>
      </c>
      <c r="S36">
        <v>1440</v>
      </c>
      <c r="T36">
        <v>550</v>
      </c>
      <c r="U36">
        <v>210</v>
      </c>
      <c r="V36">
        <v>670</v>
      </c>
      <c r="W36">
        <v>2520</v>
      </c>
      <c r="X36">
        <v>1190</v>
      </c>
      <c r="Y36">
        <v>0</v>
      </c>
      <c r="Z36">
        <v>1325</v>
      </c>
      <c r="AA36">
        <v>5995</v>
      </c>
      <c r="AB36">
        <v>2016</v>
      </c>
      <c r="AC36">
        <v>0</v>
      </c>
      <c r="AD36">
        <v>0</v>
      </c>
      <c r="AE36">
        <v>0</v>
      </c>
      <c r="AF36">
        <v>4480</v>
      </c>
      <c r="AG36">
        <v>0</v>
      </c>
      <c r="AH36">
        <v>0</v>
      </c>
      <c r="AI36">
        <v>0</v>
      </c>
      <c r="AJ36">
        <v>970</v>
      </c>
      <c r="AK36">
        <v>0</v>
      </c>
      <c r="AL36" s="12">
        <f>R36+S36+W36+X36</f>
        <v>12261</v>
      </c>
      <c r="AM36" s="13">
        <f>IF(AL36&gt;0,AF36/AL36,0)</f>
        <v>0.3653861838349237</v>
      </c>
      <c r="AN36" s="13">
        <f>IF(M36&gt;0,(AF36+AG36+AJ36+AK36)/M36,0)</f>
        <v>0.2366786815477483</v>
      </c>
      <c r="AO36">
        <v>4710</v>
      </c>
      <c r="AP36">
        <v>7170</v>
      </c>
      <c r="AQ36">
        <v>0</v>
      </c>
      <c r="AR36">
        <v>0</v>
      </c>
      <c r="AS36">
        <v>97</v>
      </c>
      <c r="AT36">
        <v>92</v>
      </c>
      <c r="AU36">
        <v>21</v>
      </c>
      <c r="AV36">
        <v>5</v>
      </c>
      <c r="AW36">
        <v>13</v>
      </c>
      <c r="AX36">
        <v>18</v>
      </c>
      <c r="AY36">
        <v>93</v>
      </c>
      <c r="AZ36">
        <v>0</v>
      </c>
      <c r="BA36">
        <v>2130</v>
      </c>
      <c r="BB36">
        <v>11</v>
      </c>
      <c r="BC36">
        <v>11</v>
      </c>
      <c r="BD36">
        <v>3</v>
      </c>
      <c r="BE36">
        <v>14</v>
      </c>
      <c r="BF36">
        <v>31</v>
      </c>
    </row>
    <row r="37" spans="1:58">
      <c r="A37" t="s">
        <v>729</v>
      </c>
      <c r="B37">
        <v>27</v>
      </c>
      <c r="C37">
        <v>1</v>
      </c>
      <c r="D37" t="s">
        <v>731</v>
      </c>
      <c r="E37">
        <v>2</v>
      </c>
      <c r="F37" t="s">
        <v>722</v>
      </c>
      <c r="G37">
        <v>168</v>
      </c>
      <c r="H37">
        <v>175</v>
      </c>
      <c r="I37">
        <v>21</v>
      </c>
      <c r="J37">
        <v>11</v>
      </c>
      <c r="K37">
        <v>3</v>
      </c>
      <c r="L37">
        <v>7</v>
      </c>
      <c r="M37">
        <v>27815</v>
      </c>
      <c r="N37">
        <v>5920</v>
      </c>
      <c r="O37" s="12">
        <f>M37-N37</f>
        <v>21895</v>
      </c>
      <c r="P37">
        <v>621662</v>
      </c>
      <c r="Q37">
        <v>599767</v>
      </c>
      <c r="R37">
        <v>9538</v>
      </c>
      <c r="S37">
        <v>1440</v>
      </c>
      <c r="T37">
        <v>570</v>
      </c>
      <c r="U37">
        <v>2270</v>
      </c>
      <c r="V37">
        <v>0</v>
      </c>
      <c r="W37">
        <v>2520</v>
      </c>
      <c r="X37">
        <v>1190</v>
      </c>
      <c r="Y37">
        <v>0</v>
      </c>
      <c r="Z37">
        <v>1500</v>
      </c>
      <c r="AA37">
        <v>6435</v>
      </c>
      <c r="AB37">
        <v>2352</v>
      </c>
      <c r="AC37">
        <v>0</v>
      </c>
      <c r="AD37">
        <v>0</v>
      </c>
      <c r="AE37">
        <v>0</v>
      </c>
      <c r="AF37">
        <v>4480</v>
      </c>
      <c r="AG37">
        <v>0</v>
      </c>
      <c r="AH37">
        <v>0</v>
      </c>
      <c r="AI37">
        <v>0</v>
      </c>
      <c r="AJ37">
        <v>1440</v>
      </c>
      <c r="AK37">
        <v>0</v>
      </c>
      <c r="AL37" s="12">
        <f>R37+S37+W37+X37</f>
        <v>14688</v>
      </c>
      <c r="AM37" s="13">
        <f>IF(AL37&gt;0,AF37/AL37,0)</f>
        <v>0.30501089324618735</v>
      </c>
      <c r="AN37" s="13">
        <f>IF(M37&gt;0,(AF37+AG37+AJ37+AK37)/M37,0)</f>
        <v>0.21283480136616933</v>
      </c>
      <c r="AO37">
        <v>4487</v>
      </c>
      <c r="AP37">
        <v>6980</v>
      </c>
      <c r="AQ37">
        <v>0</v>
      </c>
      <c r="AR37">
        <v>0</v>
      </c>
      <c r="AS37">
        <v>97</v>
      </c>
      <c r="AT37">
        <v>92</v>
      </c>
      <c r="AU37">
        <v>20</v>
      </c>
      <c r="AV37">
        <v>5</v>
      </c>
      <c r="AW37">
        <v>13</v>
      </c>
      <c r="AX37">
        <v>18</v>
      </c>
      <c r="AY37">
        <v>84</v>
      </c>
      <c r="AZ37">
        <v>0</v>
      </c>
      <c r="BA37">
        <v>2214</v>
      </c>
      <c r="BB37">
        <v>13</v>
      </c>
      <c r="BC37">
        <v>11</v>
      </c>
      <c r="BD37">
        <v>1</v>
      </c>
      <c r="BE37">
        <v>17</v>
      </c>
      <c r="BF37">
        <v>31</v>
      </c>
    </row>
    <row r="38" spans="1:58">
      <c r="A38" t="s">
        <v>733</v>
      </c>
      <c r="B38">
        <v>1</v>
      </c>
      <c r="C38">
        <v>8</v>
      </c>
      <c r="D38" t="s">
        <v>721</v>
      </c>
      <c r="E38">
        <v>1</v>
      </c>
      <c r="F38" t="s">
        <v>723</v>
      </c>
      <c r="G38">
        <v>1</v>
      </c>
      <c r="H38">
        <v>3</v>
      </c>
      <c r="I38">
        <v>17</v>
      </c>
      <c r="J38">
        <v>13</v>
      </c>
      <c r="K38">
        <v>3</v>
      </c>
      <c r="L38">
        <v>1</v>
      </c>
      <c r="M38">
        <v>21453</v>
      </c>
      <c r="N38">
        <v>18206</v>
      </c>
      <c r="O38" s="12">
        <f>M38-N38</f>
        <v>3247</v>
      </c>
      <c r="P38">
        <v>3747</v>
      </c>
      <c r="Q38">
        <v>259</v>
      </c>
      <c r="R38">
        <v>3898</v>
      </c>
      <c r="S38">
        <v>60</v>
      </c>
      <c r="T38">
        <v>510</v>
      </c>
      <c r="U38">
        <v>1040</v>
      </c>
      <c r="V38">
        <v>470</v>
      </c>
      <c r="W38">
        <v>360</v>
      </c>
      <c r="X38">
        <v>390</v>
      </c>
      <c r="Y38">
        <v>0</v>
      </c>
      <c r="Z38">
        <v>325</v>
      </c>
      <c r="AA38">
        <v>8095</v>
      </c>
      <c r="AB38">
        <v>832</v>
      </c>
      <c r="AC38">
        <v>5473</v>
      </c>
      <c r="AD38">
        <v>11400</v>
      </c>
      <c r="AE38">
        <v>5400</v>
      </c>
      <c r="AF38">
        <v>1036</v>
      </c>
      <c r="AG38">
        <v>0</v>
      </c>
      <c r="AH38">
        <v>0</v>
      </c>
      <c r="AI38">
        <v>0</v>
      </c>
      <c r="AJ38">
        <v>370</v>
      </c>
      <c r="AK38">
        <v>0</v>
      </c>
      <c r="AL38" s="12">
        <f>R38+S38+W38+X38</f>
        <v>4708</v>
      </c>
      <c r="AM38" s="13">
        <f>IF(AL38&gt;0,AF38/AL38,0)</f>
        <v>0.22005097706032287</v>
      </c>
      <c r="AN38" s="13">
        <f>IF(M38&gt;0,(AF38+AG38+AJ38+AK38)/M38,0)</f>
        <v>0.06553861930732298</v>
      </c>
      <c r="AO38">
        <v>882</v>
      </c>
      <c r="AP38">
        <v>1040</v>
      </c>
      <c r="AQ38">
        <v>0</v>
      </c>
      <c r="AR38">
        <v>0</v>
      </c>
      <c r="AS38">
        <v>44</v>
      </c>
      <c r="AT38">
        <v>39</v>
      </c>
      <c r="AU38">
        <v>21</v>
      </c>
      <c r="AV38">
        <v>2</v>
      </c>
      <c r="AW38">
        <v>7</v>
      </c>
      <c r="AX38">
        <v>9</v>
      </c>
      <c r="AY38">
        <v>277</v>
      </c>
      <c r="AZ38">
        <v>200</v>
      </c>
      <c r="BA38">
        <v>127</v>
      </c>
      <c r="BB38">
        <v>8</v>
      </c>
      <c r="BC38">
        <v>7</v>
      </c>
      <c r="BD38">
        <v>5</v>
      </c>
      <c r="BE38">
        <v>4</v>
      </c>
      <c r="BF38">
        <v>8</v>
      </c>
    </row>
    <row r="39" spans="1:58">
      <c r="A39" t="s">
        <v>733</v>
      </c>
      <c r="B39">
        <v>2</v>
      </c>
      <c r="C39">
        <v>7</v>
      </c>
      <c r="D39" t="s">
        <v>724</v>
      </c>
      <c r="E39">
        <v>1</v>
      </c>
      <c r="F39" t="s">
        <v>723</v>
      </c>
      <c r="G39">
        <v>3</v>
      </c>
      <c r="H39">
        <v>6</v>
      </c>
      <c r="I39">
        <v>17</v>
      </c>
      <c r="J39">
        <v>12</v>
      </c>
      <c r="K39">
        <v>2</v>
      </c>
      <c r="L39">
        <v>3</v>
      </c>
      <c r="M39">
        <v>25818</v>
      </c>
      <c r="N39">
        <v>22512</v>
      </c>
      <c r="O39" s="12">
        <f>M39-N39</f>
        <v>3306</v>
      </c>
      <c r="P39">
        <v>7053</v>
      </c>
      <c r="Q39">
        <v>588</v>
      </c>
      <c r="R39">
        <v>4045</v>
      </c>
      <c r="S39">
        <v>480</v>
      </c>
      <c r="T39">
        <v>595</v>
      </c>
      <c r="U39">
        <v>1040</v>
      </c>
      <c r="V39">
        <v>350</v>
      </c>
      <c r="W39">
        <v>920</v>
      </c>
      <c r="X39">
        <v>1110</v>
      </c>
      <c r="Y39">
        <v>560</v>
      </c>
      <c r="Z39">
        <v>300</v>
      </c>
      <c r="AA39">
        <v>8700</v>
      </c>
      <c r="AB39">
        <v>1648</v>
      </c>
      <c r="AC39">
        <v>6070</v>
      </c>
      <c r="AD39">
        <v>15200</v>
      </c>
      <c r="AE39">
        <v>4700</v>
      </c>
      <c r="AF39">
        <v>2112</v>
      </c>
      <c r="AG39">
        <v>0</v>
      </c>
      <c r="AH39">
        <v>0</v>
      </c>
      <c r="AI39">
        <v>0</v>
      </c>
      <c r="AJ39">
        <v>500</v>
      </c>
      <c r="AK39">
        <v>0</v>
      </c>
      <c r="AL39" s="12">
        <f>R39+S39+W39+X39</f>
        <v>6555</v>
      </c>
      <c r="AM39" s="13">
        <f>IF(AL39&gt;0,AF39/AL39,0)</f>
        <v>0.32219679633867276</v>
      </c>
      <c r="AN39" s="13">
        <f>IF(M39&gt;0,(AF39+AG39+AJ39+AK39)/M39,0)</f>
        <v>0.10116972654737005</v>
      </c>
      <c r="AO39">
        <v>1248</v>
      </c>
      <c r="AP39">
        <v>1410</v>
      </c>
      <c r="AQ39">
        <v>0</v>
      </c>
      <c r="AR39">
        <v>0</v>
      </c>
      <c r="AS39">
        <v>51</v>
      </c>
      <c r="AT39">
        <v>43</v>
      </c>
      <c r="AU39">
        <v>23</v>
      </c>
      <c r="AV39">
        <v>4</v>
      </c>
      <c r="AW39">
        <v>12</v>
      </c>
      <c r="AX39">
        <v>12</v>
      </c>
      <c r="AY39">
        <v>259</v>
      </c>
      <c r="AZ39">
        <v>0</v>
      </c>
      <c r="BA39">
        <v>386</v>
      </c>
      <c r="BB39">
        <v>5</v>
      </c>
      <c r="BC39">
        <v>7</v>
      </c>
      <c r="BD39">
        <v>6</v>
      </c>
      <c r="BE39">
        <v>4</v>
      </c>
      <c r="BF39">
        <v>11</v>
      </c>
    </row>
    <row r="40" spans="1:58">
      <c r="A40" t="s">
        <v>733</v>
      </c>
      <c r="B40">
        <v>3</v>
      </c>
      <c r="C40">
        <v>6</v>
      </c>
      <c r="D40" t="s">
        <v>725</v>
      </c>
      <c r="E40">
        <v>1</v>
      </c>
      <c r="F40" t="s">
        <v>723</v>
      </c>
      <c r="G40">
        <v>6</v>
      </c>
      <c r="H40">
        <v>9</v>
      </c>
      <c r="I40">
        <v>17</v>
      </c>
      <c r="J40">
        <v>16</v>
      </c>
      <c r="K40">
        <v>1</v>
      </c>
      <c r="L40">
        <v>0</v>
      </c>
      <c r="M40">
        <v>34379</v>
      </c>
      <c r="N40">
        <v>15624</v>
      </c>
      <c r="O40" s="12">
        <f>M40-N40</f>
        <v>18755</v>
      </c>
      <c r="P40">
        <v>25808</v>
      </c>
      <c r="Q40">
        <v>1119</v>
      </c>
      <c r="R40">
        <v>7148</v>
      </c>
      <c r="S40">
        <v>480</v>
      </c>
      <c r="T40">
        <v>680</v>
      </c>
      <c r="U40">
        <v>1040</v>
      </c>
      <c r="V40">
        <v>570</v>
      </c>
      <c r="W40">
        <v>2200</v>
      </c>
      <c r="X40">
        <v>1190</v>
      </c>
      <c r="Y40">
        <v>1305</v>
      </c>
      <c r="Z40">
        <v>150</v>
      </c>
      <c r="AA40">
        <v>8725</v>
      </c>
      <c r="AB40">
        <v>1968</v>
      </c>
      <c r="AC40">
        <v>8923</v>
      </c>
      <c r="AD40">
        <v>9000</v>
      </c>
      <c r="AE40">
        <v>3000</v>
      </c>
      <c r="AF40">
        <v>2684</v>
      </c>
      <c r="AG40">
        <v>0</v>
      </c>
      <c r="AH40">
        <v>0</v>
      </c>
      <c r="AI40">
        <v>0</v>
      </c>
      <c r="AJ40">
        <v>940</v>
      </c>
      <c r="AK40">
        <v>0</v>
      </c>
      <c r="AL40" s="12">
        <f>R40+S40+W40+X40</f>
        <v>11018</v>
      </c>
      <c r="AM40" s="13">
        <f>IF(AL40&gt;0,AF40/AL40,0)</f>
        <v>0.2436013795607188</v>
      </c>
      <c r="AN40" s="13">
        <f>IF(M40&gt;0,(AF40+AG40+AJ40+AK40)/M40,0)</f>
        <v>0.10541318828354519</v>
      </c>
      <c r="AO40">
        <v>1658</v>
      </c>
      <c r="AP40">
        <v>1750</v>
      </c>
      <c r="AQ40">
        <v>0</v>
      </c>
      <c r="AR40">
        <v>0</v>
      </c>
      <c r="AS40">
        <v>56</v>
      </c>
      <c r="AT40">
        <v>47</v>
      </c>
      <c r="AU40">
        <v>23</v>
      </c>
      <c r="AV40">
        <v>5</v>
      </c>
      <c r="AW40">
        <v>13</v>
      </c>
      <c r="AX40">
        <v>13</v>
      </c>
      <c r="AY40">
        <v>189</v>
      </c>
      <c r="AZ40">
        <v>0</v>
      </c>
      <c r="BA40">
        <v>575</v>
      </c>
      <c r="BB40">
        <v>6</v>
      </c>
      <c r="BC40">
        <v>6</v>
      </c>
      <c r="BD40">
        <v>7</v>
      </c>
      <c r="BE40">
        <v>2</v>
      </c>
      <c r="BF40">
        <v>13</v>
      </c>
    </row>
    <row r="41" spans="1:58">
      <c r="A41" t="s">
        <v>733</v>
      </c>
      <c r="B41">
        <v>4</v>
      </c>
      <c r="C41">
        <v>5</v>
      </c>
      <c r="D41" t="s">
        <v>726</v>
      </c>
      <c r="E41">
        <v>1</v>
      </c>
      <c r="F41" t="s">
        <v>723</v>
      </c>
      <c r="G41">
        <v>9</v>
      </c>
      <c r="H41">
        <v>12</v>
      </c>
      <c r="I41">
        <v>17</v>
      </c>
      <c r="J41">
        <v>14</v>
      </c>
      <c r="K41">
        <v>1</v>
      </c>
      <c r="L41">
        <v>2</v>
      </c>
      <c r="M41">
        <v>41477</v>
      </c>
      <c r="N41">
        <v>10828</v>
      </c>
      <c r="O41" s="12">
        <f>M41-N41</f>
        <v>30649</v>
      </c>
      <c r="P41">
        <v>56457</v>
      </c>
      <c r="Q41">
        <v>23633</v>
      </c>
      <c r="R41">
        <v>6813</v>
      </c>
      <c r="S41">
        <v>640</v>
      </c>
      <c r="T41">
        <v>850</v>
      </c>
      <c r="U41">
        <v>1360</v>
      </c>
      <c r="V41">
        <v>450</v>
      </c>
      <c r="W41">
        <v>2340</v>
      </c>
      <c r="X41">
        <v>1190</v>
      </c>
      <c r="Y41">
        <v>2020</v>
      </c>
      <c r="Z41">
        <v>175</v>
      </c>
      <c r="AA41">
        <v>14935</v>
      </c>
      <c r="AB41">
        <v>2016</v>
      </c>
      <c r="AC41">
        <v>8688</v>
      </c>
      <c r="AD41">
        <v>0</v>
      </c>
      <c r="AE41">
        <v>6500</v>
      </c>
      <c r="AF41">
        <v>3518</v>
      </c>
      <c r="AG41">
        <v>0</v>
      </c>
      <c r="AH41">
        <v>0</v>
      </c>
      <c r="AI41">
        <v>0</v>
      </c>
      <c r="AJ41">
        <v>810</v>
      </c>
      <c r="AK41">
        <v>0</v>
      </c>
      <c r="AL41" s="12">
        <f>R41+S41+W41+X41</f>
        <v>10983</v>
      </c>
      <c r="AM41" s="13">
        <f>IF(AL41&gt;0,AF41/AL41,0)</f>
        <v>0.3203132113265956</v>
      </c>
      <c r="AN41" s="13">
        <f>IF(M41&gt;0,(AF41+AG41+AJ41+AK41)/M41,0)</f>
        <v>0.104346987487041</v>
      </c>
      <c r="AO41">
        <v>2109</v>
      </c>
      <c r="AP41">
        <v>2480</v>
      </c>
      <c r="AQ41">
        <v>0</v>
      </c>
      <c r="AR41">
        <v>0</v>
      </c>
      <c r="AS41">
        <v>64</v>
      </c>
      <c r="AT41">
        <v>57</v>
      </c>
      <c r="AU41">
        <v>23</v>
      </c>
      <c r="AV41">
        <v>5</v>
      </c>
      <c r="AW41">
        <v>13</v>
      </c>
      <c r="AX41">
        <v>15</v>
      </c>
      <c r="AY41">
        <v>342</v>
      </c>
      <c r="AZ41">
        <v>600</v>
      </c>
      <c r="BA41">
        <v>317</v>
      </c>
      <c r="BB41">
        <v>8</v>
      </c>
      <c r="BC41">
        <v>7</v>
      </c>
      <c r="BD41">
        <v>8</v>
      </c>
      <c r="BE41">
        <v>2</v>
      </c>
      <c r="BF41">
        <v>15</v>
      </c>
    </row>
    <row r="42" spans="1:58">
      <c r="A42" t="s">
        <v>733</v>
      </c>
      <c r="B42">
        <v>5</v>
      </c>
      <c r="C42">
        <v>4</v>
      </c>
      <c r="D42" t="s">
        <v>727</v>
      </c>
      <c r="E42">
        <v>1</v>
      </c>
      <c r="F42" t="s">
        <v>723</v>
      </c>
      <c r="G42">
        <v>12</v>
      </c>
      <c r="H42">
        <v>15</v>
      </c>
      <c r="I42">
        <v>17</v>
      </c>
      <c r="J42">
        <v>12</v>
      </c>
      <c r="K42">
        <v>4</v>
      </c>
      <c r="L42">
        <v>1</v>
      </c>
      <c r="M42">
        <v>36319</v>
      </c>
      <c r="N42">
        <v>10272</v>
      </c>
      <c r="O42" s="12">
        <f>M42-N42</f>
        <v>26047</v>
      </c>
      <c r="P42">
        <v>82504</v>
      </c>
      <c r="Q42">
        <v>52367</v>
      </c>
      <c r="R42">
        <v>7664</v>
      </c>
      <c r="S42">
        <v>800</v>
      </c>
      <c r="T42">
        <v>1020</v>
      </c>
      <c r="U42">
        <v>1680</v>
      </c>
      <c r="V42">
        <v>550</v>
      </c>
      <c r="W42">
        <v>2340</v>
      </c>
      <c r="X42">
        <v>1190</v>
      </c>
      <c r="Y42">
        <v>2505</v>
      </c>
      <c r="Z42">
        <v>225</v>
      </c>
      <c r="AA42">
        <v>6690</v>
      </c>
      <c r="AB42">
        <v>2016</v>
      </c>
      <c r="AC42">
        <v>9639</v>
      </c>
      <c r="AD42">
        <v>0</v>
      </c>
      <c r="AE42">
        <v>3100</v>
      </c>
      <c r="AF42">
        <v>4092</v>
      </c>
      <c r="AG42">
        <v>0</v>
      </c>
      <c r="AH42">
        <v>2020</v>
      </c>
      <c r="AI42">
        <v>0</v>
      </c>
      <c r="AJ42">
        <v>1060</v>
      </c>
      <c r="AK42">
        <v>0</v>
      </c>
      <c r="AL42" s="12">
        <f>R42+S42+W42+X42</f>
        <v>11994</v>
      </c>
      <c r="AM42" s="13">
        <f>IF(AL42&gt;0,AF42/AL42,0)</f>
        <v>0.3411705852926463</v>
      </c>
      <c r="AN42" s="13">
        <f>IF(M42&gt;0,(AF42+AG42+AJ42+AK42)/M42,0)</f>
        <v>0.14185412593959085</v>
      </c>
      <c r="AO42">
        <v>2429</v>
      </c>
      <c r="AP42">
        <v>3310</v>
      </c>
      <c r="AQ42">
        <v>0</v>
      </c>
      <c r="AR42">
        <v>0</v>
      </c>
      <c r="AS42">
        <v>68</v>
      </c>
      <c r="AT42">
        <v>65</v>
      </c>
      <c r="AU42">
        <v>23</v>
      </c>
      <c r="AV42">
        <v>5</v>
      </c>
      <c r="AW42">
        <v>13</v>
      </c>
      <c r="AX42">
        <v>17</v>
      </c>
      <c r="AY42">
        <v>175</v>
      </c>
      <c r="AZ42">
        <v>0</v>
      </c>
      <c r="BA42">
        <v>492</v>
      </c>
      <c r="BB42">
        <v>5</v>
      </c>
      <c r="BC42">
        <v>6</v>
      </c>
      <c r="BD42">
        <v>6</v>
      </c>
      <c r="BE42">
        <v>3</v>
      </c>
      <c r="BF42">
        <v>16</v>
      </c>
    </row>
    <row r="43" spans="1:58">
      <c r="A43" t="s">
        <v>733</v>
      </c>
      <c r="B43">
        <v>6</v>
      </c>
      <c r="C43">
        <v>3</v>
      </c>
      <c r="D43" t="s">
        <v>728</v>
      </c>
      <c r="E43">
        <v>2</v>
      </c>
      <c r="F43" t="s">
        <v>723</v>
      </c>
      <c r="G43">
        <v>15</v>
      </c>
      <c r="H43">
        <v>18</v>
      </c>
      <c r="I43">
        <v>17</v>
      </c>
      <c r="J43">
        <v>14</v>
      </c>
      <c r="K43">
        <v>1</v>
      </c>
      <c r="L43">
        <v>2</v>
      </c>
      <c r="M43">
        <v>48623</v>
      </c>
      <c r="N43">
        <v>21226</v>
      </c>
      <c r="O43" s="12">
        <f>M43-N43</f>
        <v>27397</v>
      </c>
      <c r="P43">
        <v>109901</v>
      </c>
      <c r="Q43">
        <v>74153</v>
      </c>
      <c r="R43">
        <v>9776</v>
      </c>
      <c r="S43">
        <v>1080</v>
      </c>
      <c r="T43">
        <v>1190</v>
      </c>
      <c r="U43">
        <v>1650</v>
      </c>
      <c r="V43">
        <v>860</v>
      </c>
      <c r="W43">
        <v>3360</v>
      </c>
      <c r="X43">
        <v>1190</v>
      </c>
      <c r="Y43">
        <v>7025</v>
      </c>
      <c r="Z43">
        <v>75</v>
      </c>
      <c r="AA43">
        <v>8900</v>
      </c>
      <c r="AB43">
        <v>2016</v>
      </c>
      <c r="AC43">
        <v>11501</v>
      </c>
      <c r="AD43">
        <v>0</v>
      </c>
      <c r="AE43">
        <v>2200</v>
      </c>
      <c r="AF43">
        <v>4456</v>
      </c>
      <c r="AG43">
        <v>0</v>
      </c>
      <c r="AH43">
        <v>10600</v>
      </c>
      <c r="AI43">
        <v>2690</v>
      </c>
      <c r="AJ43">
        <v>1280</v>
      </c>
      <c r="AK43">
        <v>0</v>
      </c>
      <c r="AL43" s="12">
        <f>R43+S43+W43+X43</f>
        <v>15406</v>
      </c>
      <c r="AM43" s="13">
        <f>IF(AL43&gt;0,AF43/AL43,0)</f>
        <v>0.28923795923666107</v>
      </c>
      <c r="AN43" s="13">
        <f>IF(M43&gt;0,(AF43+AG43+AJ43+AK43)/M43,0)</f>
        <v>0.11796886247249244</v>
      </c>
      <c r="AO43">
        <v>3289</v>
      </c>
      <c r="AP43">
        <v>4440</v>
      </c>
      <c r="AQ43">
        <v>0</v>
      </c>
      <c r="AR43">
        <v>0</v>
      </c>
      <c r="AS43">
        <v>79</v>
      </c>
      <c r="AT43">
        <v>74</v>
      </c>
      <c r="AU43">
        <v>23</v>
      </c>
      <c r="AV43">
        <v>5</v>
      </c>
      <c r="AW43">
        <v>13</v>
      </c>
      <c r="AX43">
        <v>18</v>
      </c>
      <c r="AY43">
        <v>138</v>
      </c>
      <c r="AZ43">
        <v>500</v>
      </c>
      <c r="BA43">
        <v>130</v>
      </c>
      <c r="BB43">
        <v>6</v>
      </c>
      <c r="BC43">
        <v>7</v>
      </c>
      <c r="BD43">
        <v>9</v>
      </c>
      <c r="BE43">
        <v>1</v>
      </c>
      <c r="BF43">
        <v>17</v>
      </c>
    </row>
    <row r="44" spans="1:58">
      <c r="A44" t="s">
        <v>733</v>
      </c>
      <c r="B44">
        <v>7</v>
      </c>
      <c r="C44">
        <v>2</v>
      </c>
      <c r="D44" t="s">
        <v>730</v>
      </c>
      <c r="E44">
        <v>2</v>
      </c>
      <c r="F44" t="s">
        <v>723</v>
      </c>
      <c r="G44">
        <v>18</v>
      </c>
      <c r="H44">
        <v>20</v>
      </c>
      <c r="I44">
        <v>17</v>
      </c>
      <c r="J44">
        <v>11</v>
      </c>
      <c r="K44">
        <v>5</v>
      </c>
      <c r="L44">
        <v>1</v>
      </c>
      <c r="M44">
        <v>44560</v>
      </c>
      <c r="N44">
        <v>16500</v>
      </c>
      <c r="O44" s="12">
        <f>M44-N44</f>
        <v>28060</v>
      </c>
      <c r="P44">
        <v>137961</v>
      </c>
      <c r="Q44">
        <v>104970</v>
      </c>
      <c r="R44">
        <v>9628</v>
      </c>
      <c r="S44">
        <v>980</v>
      </c>
      <c r="T44">
        <v>1360</v>
      </c>
      <c r="U44">
        <v>1960</v>
      </c>
      <c r="V44">
        <v>990</v>
      </c>
      <c r="W44">
        <v>2720</v>
      </c>
      <c r="X44">
        <v>1190</v>
      </c>
      <c r="Y44">
        <v>3970</v>
      </c>
      <c r="Z44">
        <v>225</v>
      </c>
      <c r="AA44">
        <v>9165</v>
      </c>
      <c r="AB44">
        <v>1344</v>
      </c>
      <c r="AC44">
        <v>11028</v>
      </c>
      <c r="AD44">
        <v>0</v>
      </c>
      <c r="AE44">
        <v>0</v>
      </c>
      <c r="AF44">
        <v>4480</v>
      </c>
      <c r="AG44">
        <v>0</v>
      </c>
      <c r="AH44">
        <v>10450</v>
      </c>
      <c r="AI44">
        <v>0</v>
      </c>
      <c r="AJ44">
        <v>1570</v>
      </c>
      <c r="AK44">
        <v>0</v>
      </c>
      <c r="AL44" s="12">
        <f>R44+S44+W44+X44</f>
        <v>14518</v>
      </c>
      <c r="AM44" s="13">
        <f>IF(AL44&gt;0,AF44/AL44,0)</f>
        <v>0.3085824493731919</v>
      </c>
      <c r="AN44" s="13">
        <f>IF(M44&gt;0,(AF44+AG44+AJ44+AK44)/M44,0)</f>
        <v>0.13577199281867144</v>
      </c>
      <c r="AO44">
        <v>3871</v>
      </c>
      <c r="AP44">
        <v>5580</v>
      </c>
      <c r="AQ44">
        <v>0</v>
      </c>
      <c r="AR44">
        <v>0</v>
      </c>
      <c r="AS44">
        <v>86</v>
      </c>
      <c r="AT44">
        <v>84</v>
      </c>
      <c r="AU44">
        <v>23</v>
      </c>
      <c r="AV44">
        <v>5</v>
      </c>
      <c r="AW44">
        <v>13</v>
      </c>
      <c r="AX44">
        <v>18</v>
      </c>
      <c r="AY44">
        <v>119</v>
      </c>
      <c r="AZ44">
        <v>0</v>
      </c>
      <c r="BA44">
        <v>249</v>
      </c>
      <c r="BB44">
        <v>6</v>
      </c>
      <c r="BC44">
        <v>4</v>
      </c>
      <c r="BD44">
        <v>3</v>
      </c>
      <c r="BE44">
        <v>3</v>
      </c>
      <c r="BF44">
        <v>18</v>
      </c>
    </row>
    <row r="45" spans="1:58">
      <c r="A45" t="s">
        <v>733</v>
      </c>
      <c r="B45">
        <v>8</v>
      </c>
      <c r="C45">
        <v>1</v>
      </c>
      <c r="D45" t="s">
        <v>731</v>
      </c>
      <c r="E45">
        <v>2</v>
      </c>
      <c r="F45" t="s">
        <v>722</v>
      </c>
      <c r="G45">
        <v>20</v>
      </c>
      <c r="H45">
        <v>24</v>
      </c>
      <c r="I45">
        <v>21</v>
      </c>
      <c r="J45">
        <v>11</v>
      </c>
      <c r="K45">
        <v>6</v>
      </c>
      <c r="L45">
        <v>4</v>
      </c>
      <c r="M45">
        <v>55230</v>
      </c>
      <c r="N45">
        <v>23630</v>
      </c>
      <c r="O45" s="12">
        <f>M45-N45</f>
        <v>31600</v>
      </c>
      <c r="P45">
        <v>169561</v>
      </c>
      <c r="Q45">
        <v>128476</v>
      </c>
      <c r="R45">
        <v>10996</v>
      </c>
      <c r="S45">
        <v>1440</v>
      </c>
      <c r="T45">
        <v>3590</v>
      </c>
      <c r="U45">
        <v>2270</v>
      </c>
      <c r="V45">
        <v>1170</v>
      </c>
      <c r="W45">
        <v>2400</v>
      </c>
      <c r="X45">
        <v>1190</v>
      </c>
      <c r="Y45">
        <v>5160</v>
      </c>
      <c r="Z45">
        <v>350</v>
      </c>
      <c r="AA45">
        <v>10630</v>
      </c>
      <c r="AB45">
        <v>2688</v>
      </c>
      <c r="AC45">
        <v>13346</v>
      </c>
      <c r="AD45">
        <v>0</v>
      </c>
      <c r="AE45">
        <v>0</v>
      </c>
      <c r="AF45">
        <v>4480</v>
      </c>
      <c r="AG45">
        <v>0</v>
      </c>
      <c r="AH45">
        <v>13910</v>
      </c>
      <c r="AI45">
        <v>2960</v>
      </c>
      <c r="AJ45">
        <v>2280</v>
      </c>
      <c r="AK45">
        <v>0</v>
      </c>
      <c r="AL45" s="12">
        <f>R45+S45+W45+X45</f>
        <v>16026</v>
      </c>
      <c r="AM45" s="13">
        <f>IF(AL45&gt;0,AF45/AL45,0)</f>
        <v>0.27954573817546485</v>
      </c>
      <c r="AN45" s="13">
        <f>IF(M45&gt;0,(AF45+AG45+AJ45+AK45)/M45,0)</f>
        <v>0.12239724787253305</v>
      </c>
      <c r="AO45">
        <v>4765</v>
      </c>
      <c r="AP45">
        <v>6840</v>
      </c>
      <c r="AQ45">
        <v>0</v>
      </c>
      <c r="AR45">
        <v>0</v>
      </c>
      <c r="AS45">
        <v>94</v>
      </c>
      <c r="AT45">
        <v>92</v>
      </c>
      <c r="AU45">
        <v>23</v>
      </c>
      <c r="AV45">
        <v>5</v>
      </c>
      <c r="AW45">
        <v>13</v>
      </c>
      <c r="AX45">
        <v>18</v>
      </c>
      <c r="AY45">
        <v>214</v>
      </c>
      <c r="AZ45">
        <v>0</v>
      </c>
      <c r="BA45">
        <v>463</v>
      </c>
      <c r="BB45">
        <v>9</v>
      </c>
      <c r="BC45">
        <v>8</v>
      </c>
      <c r="BD45">
        <v>6</v>
      </c>
      <c r="BE45">
        <v>4</v>
      </c>
      <c r="BF45">
        <v>19</v>
      </c>
    </row>
    <row r="46" spans="1:58">
      <c r="A46" t="s">
        <v>733</v>
      </c>
      <c r="B46">
        <v>9</v>
      </c>
      <c r="C46">
        <v>1</v>
      </c>
      <c r="D46" t="s">
        <v>731</v>
      </c>
      <c r="E46">
        <v>1</v>
      </c>
      <c r="F46" t="s">
        <v>722</v>
      </c>
      <c r="G46">
        <v>24</v>
      </c>
      <c r="H46">
        <v>28</v>
      </c>
      <c r="I46">
        <v>24</v>
      </c>
      <c r="J46">
        <v>18</v>
      </c>
      <c r="K46">
        <v>3</v>
      </c>
      <c r="L46">
        <v>3</v>
      </c>
      <c r="M46">
        <v>72810</v>
      </c>
      <c r="N46">
        <v>6780</v>
      </c>
      <c r="O46" s="12">
        <f>M46-N46</f>
        <v>66030</v>
      </c>
      <c r="P46">
        <v>235591</v>
      </c>
      <c r="Q46">
        <v>169561</v>
      </c>
      <c r="R46">
        <v>14561</v>
      </c>
      <c r="S46">
        <v>1920</v>
      </c>
      <c r="T46">
        <v>9830</v>
      </c>
      <c r="U46">
        <v>2640</v>
      </c>
      <c r="V46">
        <v>900</v>
      </c>
      <c r="W46">
        <v>3600</v>
      </c>
      <c r="X46">
        <v>1190</v>
      </c>
      <c r="Y46">
        <v>5370</v>
      </c>
      <c r="Z46">
        <v>900</v>
      </c>
      <c r="AA46">
        <v>11850</v>
      </c>
      <c r="AB46">
        <v>2688</v>
      </c>
      <c r="AC46">
        <v>17361</v>
      </c>
      <c r="AD46">
        <v>0</v>
      </c>
      <c r="AE46">
        <v>0</v>
      </c>
      <c r="AF46">
        <v>4480</v>
      </c>
      <c r="AG46">
        <v>0</v>
      </c>
      <c r="AH46">
        <v>0</v>
      </c>
      <c r="AI46">
        <v>0</v>
      </c>
      <c r="AJ46">
        <v>2300</v>
      </c>
      <c r="AK46">
        <v>0</v>
      </c>
      <c r="AL46" s="12">
        <f>R46+S46+W46+X46</f>
        <v>21271</v>
      </c>
      <c r="AM46" s="13">
        <f>IF(AL46&gt;0,AF46/AL46,0)</f>
        <v>0.21061539184805603</v>
      </c>
      <c r="AN46" s="13">
        <f>IF(M46&gt;0,(AF46+AG46+AJ46+AK46)/M46,0)</f>
        <v>0.0931190770498558</v>
      </c>
      <c r="AO46">
        <v>5098</v>
      </c>
      <c r="AP46">
        <v>6770</v>
      </c>
      <c r="AQ46">
        <v>0</v>
      </c>
      <c r="AR46">
        <v>0</v>
      </c>
      <c r="AS46">
        <v>96</v>
      </c>
      <c r="AT46">
        <v>92</v>
      </c>
      <c r="AU46">
        <v>23</v>
      </c>
      <c r="AV46">
        <v>5</v>
      </c>
      <c r="AW46">
        <v>13</v>
      </c>
      <c r="AX46">
        <v>18</v>
      </c>
      <c r="AY46">
        <v>356</v>
      </c>
      <c r="AZ46">
        <v>0</v>
      </c>
      <c r="BA46">
        <v>819</v>
      </c>
      <c r="BB46">
        <v>10</v>
      </c>
      <c r="BC46">
        <v>11</v>
      </c>
      <c r="BD46">
        <v>7</v>
      </c>
      <c r="BE46">
        <v>8</v>
      </c>
      <c r="BF46">
        <v>21</v>
      </c>
    </row>
    <row r="47" spans="1:58">
      <c r="A47" t="s">
        <v>733</v>
      </c>
      <c r="B47">
        <v>10</v>
      </c>
      <c r="C47">
        <v>1</v>
      </c>
      <c r="D47" t="s">
        <v>731</v>
      </c>
      <c r="E47">
        <v>1</v>
      </c>
      <c r="F47" t="s">
        <v>722</v>
      </c>
      <c r="G47">
        <v>28</v>
      </c>
      <c r="H47">
        <v>32</v>
      </c>
      <c r="I47">
        <v>23</v>
      </c>
      <c r="J47">
        <v>16</v>
      </c>
      <c r="K47">
        <v>4</v>
      </c>
      <c r="L47">
        <v>3</v>
      </c>
      <c r="M47">
        <v>60918</v>
      </c>
      <c r="N47">
        <v>5910</v>
      </c>
      <c r="O47" s="12">
        <f>M47-N47</f>
        <v>55008</v>
      </c>
      <c r="P47">
        <v>290599</v>
      </c>
      <c r="Q47">
        <v>235591</v>
      </c>
      <c r="R47">
        <v>14575</v>
      </c>
      <c r="S47">
        <v>1760</v>
      </c>
      <c r="T47">
        <v>5030</v>
      </c>
      <c r="U47">
        <v>2640</v>
      </c>
      <c r="V47">
        <v>1420</v>
      </c>
      <c r="W47">
        <v>3600</v>
      </c>
      <c r="X47">
        <v>1190</v>
      </c>
      <c r="Y47">
        <v>0</v>
      </c>
      <c r="Z47">
        <v>1000</v>
      </c>
      <c r="AA47">
        <v>10240</v>
      </c>
      <c r="AB47">
        <v>2688</v>
      </c>
      <c r="AC47">
        <v>16775</v>
      </c>
      <c r="AD47">
        <v>0</v>
      </c>
      <c r="AE47">
        <v>0</v>
      </c>
      <c r="AF47">
        <v>4480</v>
      </c>
      <c r="AG47">
        <v>0</v>
      </c>
      <c r="AH47">
        <v>0</v>
      </c>
      <c r="AI47">
        <v>0</v>
      </c>
      <c r="AJ47">
        <v>1430</v>
      </c>
      <c r="AK47">
        <v>0</v>
      </c>
      <c r="AL47" s="12">
        <f>R47+S47+W47+X47</f>
        <v>21125</v>
      </c>
      <c r="AM47" s="13">
        <f>IF(AL47&gt;0,AF47/AL47,0)</f>
        <v>0.21207100591715977</v>
      </c>
      <c r="AN47" s="13">
        <f>IF(M47&gt;0,(AF47+AG47+AJ47+AK47)/M47,0)</f>
        <v>0.09701566039594209</v>
      </c>
      <c r="AO47">
        <v>5127</v>
      </c>
      <c r="AP47">
        <v>6840</v>
      </c>
      <c r="AQ47">
        <v>0</v>
      </c>
      <c r="AR47">
        <v>0</v>
      </c>
      <c r="AS47">
        <v>97</v>
      </c>
      <c r="AT47">
        <v>92</v>
      </c>
      <c r="AU47">
        <v>23</v>
      </c>
      <c r="AV47">
        <v>5</v>
      </c>
      <c r="AW47">
        <v>13</v>
      </c>
      <c r="AX47">
        <v>18</v>
      </c>
      <c r="AY47">
        <v>251</v>
      </c>
      <c r="AZ47">
        <v>1000</v>
      </c>
      <c r="BA47">
        <v>70</v>
      </c>
      <c r="BB47">
        <v>6</v>
      </c>
      <c r="BC47">
        <v>8</v>
      </c>
      <c r="BD47">
        <v>0</v>
      </c>
      <c r="BE47">
        <v>12</v>
      </c>
      <c r="BF47">
        <v>22</v>
      </c>
    </row>
    <row r="48" spans="1:58">
      <c r="A48" t="s">
        <v>733</v>
      </c>
      <c r="B48">
        <v>11</v>
      </c>
      <c r="C48">
        <v>1</v>
      </c>
      <c r="D48" t="s">
        <v>731</v>
      </c>
      <c r="E48">
        <v>1</v>
      </c>
      <c r="F48" t="s">
        <v>722</v>
      </c>
      <c r="G48">
        <v>32</v>
      </c>
      <c r="H48">
        <v>36</v>
      </c>
      <c r="I48">
        <v>24</v>
      </c>
      <c r="J48">
        <v>21</v>
      </c>
      <c r="K48">
        <v>3</v>
      </c>
      <c r="L48">
        <v>0</v>
      </c>
      <c r="M48">
        <v>92559</v>
      </c>
      <c r="N48">
        <v>6880</v>
      </c>
      <c r="O48" s="12">
        <f>M48-N48</f>
        <v>85679</v>
      </c>
      <c r="P48">
        <v>376278</v>
      </c>
      <c r="Q48">
        <v>290599</v>
      </c>
      <c r="R48">
        <v>23508</v>
      </c>
      <c r="S48">
        <v>1760</v>
      </c>
      <c r="T48">
        <v>9980</v>
      </c>
      <c r="U48">
        <v>2640</v>
      </c>
      <c r="V48">
        <v>1420</v>
      </c>
      <c r="W48">
        <v>4400</v>
      </c>
      <c r="X48">
        <v>1190</v>
      </c>
      <c r="Y48">
        <v>0</v>
      </c>
      <c r="Z48">
        <v>1250</v>
      </c>
      <c r="AA48">
        <v>17565</v>
      </c>
      <c r="AB48">
        <v>2688</v>
      </c>
      <c r="AC48">
        <v>26158</v>
      </c>
      <c r="AD48">
        <v>0</v>
      </c>
      <c r="AE48">
        <v>0</v>
      </c>
      <c r="AF48">
        <v>4480</v>
      </c>
      <c r="AG48">
        <v>0</v>
      </c>
      <c r="AH48">
        <v>0</v>
      </c>
      <c r="AI48">
        <v>0</v>
      </c>
      <c r="AJ48">
        <v>2400</v>
      </c>
      <c r="AK48">
        <v>0</v>
      </c>
      <c r="AL48" s="12">
        <f>R48+S48+W48+X48</f>
        <v>30858</v>
      </c>
      <c r="AM48" s="13">
        <f>IF(AL48&gt;0,AF48/AL48,0)</f>
        <v>0.14518115237539697</v>
      </c>
      <c r="AN48" s="13">
        <f>IF(M48&gt;0,(AF48+AG48+AJ48+AK48)/M48,0)</f>
        <v>0.07433096727492734</v>
      </c>
      <c r="AO48">
        <v>5132</v>
      </c>
      <c r="AP48">
        <v>7530</v>
      </c>
      <c r="AQ48">
        <v>0</v>
      </c>
      <c r="AR48">
        <v>0</v>
      </c>
      <c r="AS48">
        <v>97</v>
      </c>
      <c r="AT48">
        <v>91</v>
      </c>
      <c r="AU48">
        <v>23</v>
      </c>
      <c r="AV48">
        <v>5</v>
      </c>
      <c r="AW48">
        <v>13</v>
      </c>
      <c r="AX48">
        <v>18</v>
      </c>
      <c r="AY48">
        <v>377</v>
      </c>
      <c r="AZ48">
        <v>0</v>
      </c>
      <c r="BA48">
        <v>447</v>
      </c>
      <c r="BB48">
        <v>13</v>
      </c>
      <c r="BC48">
        <v>11</v>
      </c>
      <c r="BD48">
        <v>0</v>
      </c>
      <c r="BE48">
        <v>15</v>
      </c>
      <c r="BF48">
        <v>23</v>
      </c>
    </row>
    <row r="49" spans="1:58">
      <c r="A49" t="s">
        <v>733</v>
      </c>
      <c r="B49">
        <v>12</v>
      </c>
      <c r="C49">
        <v>1</v>
      </c>
      <c r="D49" t="s">
        <v>731</v>
      </c>
      <c r="E49">
        <v>1</v>
      </c>
      <c r="F49" t="s">
        <v>722</v>
      </c>
      <c r="G49">
        <v>36</v>
      </c>
      <c r="H49">
        <v>40</v>
      </c>
      <c r="I49">
        <v>24</v>
      </c>
      <c r="J49">
        <v>19</v>
      </c>
      <c r="K49">
        <v>2</v>
      </c>
      <c r="L49">
        <v>3</v>
      </c>
      <c r="M49">
        <v>70617</v>
      </c>
      <c r="N49">
        <v>6380</v>
      </c>
      <c r="O49" s="12">
        <f>M49-N49</f>
        <v>64237</v>
      </c>
      <c r="P49">
        <v>440515</v>
      </c>
      <c r="Q49">
        <v>376278</v>
      </c>
      <c r="R49">
        <v>18177</v>
      </c>
      <c r="S49">
        <v>1600</v>
      </c>
      <c r="T49">
        <v>8570</v>
      </c>
      <c r="U49">
        <v>2640</v>
      </c>
      <c r="V49">
        <v>1420</v>
      </c>
      <c r="W49">
        <v>4400</v>
      </c>
      <c r="X49">
        <v>1190</v>
      </c>
      <c r="Y49">
        <v>75</v>
      </c>
      <c r="Z49">
        <v>1050</v>
      </c>
      <c r="AA49">
        <v>8230</v>
      </c>
      <c r="AB49">
        <v>2688</v>
      </c>
      <c r="AC49">
        <v>20577</v>
      </c>
      <c r="AD49">
        <v>0</v>
      </c>
      <c r="AE49">
        <v>0</v>
      </c>
      <c r="AF49">
        <v>4480</v>
      </c>
      <c r="AG49">
        <v>0</v>
      </c>
      <c r="AH49">
        <v>0</v>
      </c>
      <c r="AI49">
        <v>0</v>
      </c>
      <c r="AJ49">
        <v>1900</v>
      </c>
      <c r="AK49">
        <v>0</v>
      </c>
      <c r="AL49" s="12">
        <f>R49+S49+W49+X49</f>
        <v>25367</v>
      </c>
      <c r="AM49" s="13">
        <f>IF(AL49&gt;0,AF49/AL49,0)</f>
        <v>0.17660740331927308</v>
      </c>
      <c r="AN49" s="13">
        <f>IF(M49&gt;0,(AF49+AG49+AJ49+AK49)/M49,0)</f>
        <v>0.09034651712760383</v>
      </c>
      <c r="AO49">
        <v>5145</v>
      </c>
      <c r="AP49">
        <v>7530</v>
      </c>
      <c r="AQ49">
        <v>0</v>
      </c>
      <c r="AR49">
        <v>0</v>
      </c>
      <c r="AS49">
        <v>97</v>
      </c>
      <c r="AT49">
        <v>91</v>
      </c>
      <c r="AU49">
        <v>23</v>
      </c>
      <c r="AV49">
        <v>5</v>
      </c>
      <c r="AW49">
        <v>13</v>
      </c>
      <c r="AX49">
        <v>18</v>
      </c>
      <c r="AY49">
        <v>311</v>
      </c>
      <c r="AZ49">
        <v>0</v>
      </c>
      <c r="BA49">
        <v>758</v>
      </c>
      <c r="BB49">
        <v>9</v>
      </c>
      <c r="BC49">
        <v>9</v>
      </c>
      <c r="BD49">
        <v>1</v>
      </c>
      <c r="BE49">
        <v>12</v>
      </c>
      <c r="BF49">
        <v>24</v>
      </c>
    </row>
    <row r="50" spans="1:58">
      <c r="A50" t="s">
        <v>733</v>
      </c>
      <c r="B50">
        <v>13</v>
      </c>
      <c r="C50">
        <v>1</v>
      </c>
      <c r="D50" t="s">
        <v>731</v>
      </c>
      <c r="E50">
        <v>2</v>
      </c>
      <c r="F50" t="s">
        <v>722</v>
      </c>
      <c r="G50">
        <v>40</v>
      </c>
      <c r="H50">
        <v>44</v>
      </c>
      <c r="I50">
        <v>24</v>
      </c>
      <c r="J50">
        <v>15</v>
      </c>
      <c r="K50">
        <v>5</v>
      </c>
      <c r="L50">
        <v>4</v>
      </c>
      <c r="M50">
        <v>52658</v>
      </c>
      <c r="N50">
        <v>5910</v>
      </c>
      <c r="O50" s="12">
        <f>M50-N50</f>
        <v>46748</v>
      </c>
      <c r="P50">
        <v>487263</v>
      </c>
      <c r="Q50">
        <v>440515</v>
      </c>
      <c r="R50">
        <v>12195</v>
      </c>
      <c r="S50">
        <v>1600</v>
      </c>
      <c r="T50">
        <v>9680</v>
      </c>
      <c r="U50">
        <v>2270</v>
      </c>
      <c r="V50">
        <v>400</v>
      </c>
      <c r="W50">
        <v>2800</v>
      </c>
      <c r="X50">
        <v>1190</v>
      </c>
      <c r="Y50">
        <v>0</v>
      </c>
      <c r="Z50">
        <v>975</v>
      </c>
      <c r="AA50">
        <v>4165</v>
      </c>
      <c r="AB50">
        <v>2688</v>
      </c>
      <c r="AC50">
        <v>14695</v>
      </c>
      <c r="AD50">
        <v>0</v>
      </c>
      <c r="AE50">
        <v>0</v>
      </c>
      <c r="AF50">
        <v>4480</v>
      </c>
      <c r="AG50">
        <v>0</v>
      </c>
      <c r="AH50">
        <v>0</v>
      </c>
      <c r="AI50">
        <v>0</v>
      </c>
      <c r="AJ50">
        <v>1430</v>
      </c>
      <c r="AK50">
        <v>0</v>
      </c>
      <c r="AL50" s="12">
        <f>R50+S50+W50+X50</f>
        <v>17785</v>
      </c>
      <c r="AM50" s="13">
        <f>IF(AL50&gt;0,AF50/AL50,0)</f>
        <v>0.25189766657295476</v>
      </c>
      <c r="AN50" s="13">
        <f>IF(M50&gt;0,(AF50+AG50+AJ50+AK50)/M50,0)</f>
        <v>0.11223365870333092</v>
      </c>
      <c r="AO50">
        <v>5105</v>
      </c>
      <c r="AP50">
        <v>7310</v>
      </c>
      <c r="AQ50">
        <v>0</v>
      </c>
      <c r="AR50">
        <v>0</v>
      </c>
      <c r="AS50">
        <v>97</v>
      </c>
      <c r="AT50">
        <v>92</v>
      </c>
      <c r="AU50">
        <v>23</v>
      </c>
      <c r="AV50">
        <v>5</v>
      </c>
      <c r="AW50">
        <v>13</v>
      </c>
      <c r="AX50">
        <v>18</v>
      </c>
      <c r="AY50">
        <v>261</v>
      </c>
      <c r="AZ50">
        <v>0</v>
      </c>
      <c r="BA50">
        <v>1019</v>
      </c>
      <c r="BB50">
        <v>6</v>
      </c>
      <c r="BC50">
        <v>8</v>
      </c>
      <c r="BD50">
        <v>0</v>
      </c>
      <c r="BE50">
        <v>12</v>
      </c>
      <c r="BF50">
        <v>25</v>
      </c>
    </row>
    <row r="51" spans="1:58">
      <c r="A51" t="s">
        <v>733</v>
      </c>
      <c r="B51">
        <v>14</v>
      </c>
      <c r="C51">
        <v>1</v>
      </c>
      <c r="D51" t="s">
        <v>731</v>
      </c>
      <c r="E51">
        <v>4</v>
      </c>
      <c r="F51" t="s">
        <v>722</v>
      </c>
      <c r="G51">
        <v>44</v>
      </c>
      <c r="H51">
        <v>48</v>
      </c>
      <c r="I51">
        <v>24</v>
      </c>
      <c r="J51">
        <v>15</v>
      </c>
      <c r="K51">
        <v>4</v>
      </c>
      <c r="L51">
        <v>5</v>
      </c>
      <c r="M51">
        <v>54038</v>
      </c>
      <c r="N51">
        <v>6870</v>
      </c>
      <c r="O51" s="12">
        <f>M51-N51</f>
        <v>47168</v>
      </c>
      <c r="P51">
        <v>534431</v>
      </c>
      <c r="Q51">
        <v>487263</v>
      </c>
      <c r="R51">
        <v>13575</v>
      </c>
      <c r="S51">
        <v>1600</v>
      </c>
      <c r="T51">
        <v>9830</v>
      </c>
      <c r="U51">
        <v>280</v>
      </c>
      <c r="V51">
        <v>400</v>
      </c>
      <c r="W51">
        <v>2400</v>
      </c>
      <c r="X51">
        <v>1190</v>
      </c>
      <c r="Y51">
        <v>940</v>
      </c>
      <c r="Z51">
        <v>1050</v>
      </c>
      <c r="AA51">
        <v>3910</v>
      </c>
      <c r="AB51">
        <v>2688</v>
      </c>
      <c r="AC51">
        <v>16175</v>
      </c>
      <c r="AD51">
        <v>0</v>
      </c>
      <c r="AE51">
        <v>0</v>
      </c>
      <c r="AF51">
        <v>4480</v>
      </c>
      <c r="AG51">
        <v>0</v>
      </c>
      <c r="AH51">
        <v>0</v>
      </c>
      <c r="AI51">
        <v>0</v>
      </c>
      <c r="AJ51">
        <v>2390</v>
      </c>
      <c r="AK51">
        <v>0</v>
      </c>
      <c r="AL51" s="12">
        <f>R51+S51+W51+X51</f>
        <v>18765</v>
      </c>
      <c r="AM51" s="13">
        <f>IF(AL51&gt;0,AF51/AL51,0)</f>
        <v>0.23874233946176393</v>
      </c>
      <c r="AN51" s="13">
        <f>IF(M51&gt;0,(AF51+AG51+AJ51+AK51)/M51,0)</f>
        <v>0.12713275842925348</v>
      </c>
      <c r="AO51">
        <v>5123</v>
      </c>
      <c r="AP51">
        <v>7440</v>
      </c>
      <c r="AQ51">
        <v>0</v>
      </c>
      <c r="AR51">
        <v>0</v>
      </c>
      <c r="AS51">
        <v>97</v>
      </c>
      <c r="AT51">
        <v>92</v>
      </c>
      <c r="AU51">
        <v>23</v>
      </c>
      <c r="AV51">
        <v>5</v>
      </c>
      <c r="AW51">
        <v>13</v>
      </c>
      <c r="AX51">
        <v>18</v>
      </c>
      <c r="AY51">
        <v>248</v>
      </c>
      <c r="AZ51">
        <v>0</v>
      </c>
      <c r="BA51">
        <v>1267</v>
      </c>
      <c r="BB51">
        <v>9</v>
      </c>
      <c r="BC51">
        <v>9</v>
      </c>
      <c r="BD51">
        <v>2</v>
      </c>
      <c r="BE51">
        <v>11</v>
      </c>
      <c r="BF51">
        <v>26</v>
      </c>
    </row>
    <row r="52" spans="1:58">
      <c r="A52" t="s">
        <v>733</v>
      </c>
      <c r="B52">
        <v>15</v>
      </c>
      <c r="C52">
        <v>1</v>
      </c>
      <c r="D52" t="s">
        <v>731</v>
      </c>
      <c r="E52">
        <v>1</v>
      </c>
      <c r="F52" t="s">
        <v>722</v>
      </c>
      <c r="G52">
        <v>48</v>
      </c>
      <c r="H52">
        <v>52</v>
      </c>
      <c r="I52">
        <v>24</v>
      </c>
      <c r="J52">
        <v>19</v>
      </c>
      <c r="K52">
        <v>3</v>
      </c>
      <c r="L52">
        <v>2</v>
      </c>
      <c r="M52">
        <v>68380</v>
      </c>
      <c r="N52">
        <v>6400</v>
      </c>
      <c r="O52" s="12">
        <f>M52-N52</f>
        <v>61980</v>
      </c>
      <c r="P52">
        <v>596411</v>
      </c>
      <c r="Q52">
        <v>534431</v>
      </c>
      <c r="R52">
        <v>18741</v>
      </c>
      <c r="S52">
        <v>1920</v>
      </c>
      <c r="T52">
        <v>9980</v>
      </c>
      <c r="U52">
        <v>2640</v>
      </c>
      <c r="V52">
        <v>1150</v>
      </c>
      <c r="W52">
        <v>3600</v>
      </c>
      <c r="X52">
        <v>1190</v>
      </c>
      <c r="Y52">
        <v>0</v>
      </c>
      <c r="Z52">
        <v>950</v>
      </c>
      <c r="AA52">
        <v>4430</v>
      </c>
      <c r="AB52">
        <v>2688</v>
      </c>
      <c r="AC52">
        <v>21091</v>
      </c>
      <c r="AD52">
        <v>0</v>
      </c>
      <c r="AE52">
        <v>0</v>
      </c>
      <c r="AF52">
        <v>4480</v>
      </c>
      <c r="AG52">
        <v>0</v>
      </c>
      <c r="AH52">
        <v>0</v>
      </c>
      <c r="AI52">
        <v>0</v>
      </c>
      <c r="AJ52">
        <v>1920</v>
      </c>
      <c r="AK52">
        <v>0</v>
      </c>
      <c r="AL52" s="12">
        <f>R52+S52+W52+X52</f>
        <v>25451</v>
      </c>
      <c r="AM52" s="13">
        <f>IF(AL52&gt;0,AF52/AL52,0)</f>
        <v>0.17602451770067973</v>
      </c>
      <c r="AN52" s="13">
        <f>IF(M52&gt;0,(AF52+AG52+AJ52+AK52)/M52,0)</f>
        <v>0.09359461830944721</v>
      </c>
      <c r="AO52">
        <v>4898</v>
      </c>
      <c r="AP52">
        <v>7440</v>
      </c>
      <c r="AQ52">
        <v>0</v>
      </c>
      <c r="AR52">
        <v>0</v>
      </c>
      <c r="AS52">
        <v>97</v>
      </c>
      <c r="AT52">
        <v>92</v>
      </c>
      <c r="AU52">
        <v>22</v>
      </c>
      <c r="AV52">
        <v>5</v>
      </c>
      <c r="AW52">
        <v>13</v>
      </c>
      <c r="AX52">
        <v>18</v>
      </c>
      <c r="AY52">
        <v>319</v>
      </c>
      <c r="AZ52">
        <v>0</v>
      </c>
      <c r="BA52">
        <v>1586</v>
      </c>
      <c r="BB52">
        <v>7</v>
      </c>
      <c r="BC52">
        <v>6</v>
      </c>
      <c r="BD52">
        <v>1</v>
      </c>
      <c r="BE52">
        <v>9</v>
      </c>
      <c r="BF52">
        <v>26</v>
      </c>
    </row>
    <row r="53" spans="1:58">
      <c r="A53" t="s">
        <v>733</v>
      </c>
      <c r="B53">
        <v>16</v>
      </c>
      <c r="C53">
        <v>1</v>
      </c>
      <c r="D53" t="s">
        <v>731</v>
      </c>
      <c r="E53">
        <v>1</v>
      </c>
      <c r="F53" t="s">
        <v>722</v>
      </c>
      <c r="G53">
        <v>52</v>
      </c>
      <c r="H53">
        <v>56</v>
      </c>
      <c r="I53">
        <v>24</v>
      </c>
      <c r="J53">
        <v>20</v>
      </c>
      <c r="K53">
        <v>2</v>
      </c>
      <c r="L53">
        <v>2</v>
      </c>
      <c r="M53">
        <v>67312</v>
      </c>
      <c r="N53">
        <v>5910</v>
      </c>
      <c r="O53" s="12">
        <f>M53-N53</f>
        <v>61402</v>
      </c>
      <c r="P53">
        <v>657813</v>
      </c>
      <c r="Q53">
        <v>596411</v>
      </c>
      <c r="R53">
        <v>19447</v>
      </c>
      <c r="S53">
        <v>1920</v>
      </c>
      <c r="T53">
        <v>5780</v>
      </c>
      <c r="U53">
        <v>2640</v>
      </c>
      <c r="V53">
        <v>1420</v>
      </c>
      <c r="W53">
        <v>4400</v>
      </c>
      <c r="X53">
        <v>1190</v>
      </c>
      <c r="Y53">
        <v>0</v>
      </c>
      <c r="Z53">
        <v>1350</v>
      </c>
      <c r="AA53">
        <v>4230</v>
      </c>
      <c r="AB53">
        <v>2688</v>
      </c>
      <c r="AC53">
        <v>22247</v>
      </c>
      <c r="AD53">
        <v>0</v>
      </c>
      <c r="AE53">
        <v>0</v>
      </c>
      <c r="AF53">
        <v>4480</v>
      </c>
      <c r="AG53">
        <v>0</v>
      </c>
      <c r="AH53">
        <v>0</v>
      </c>
      <c r="AI53">
        <v>0</v>
      </c>
      <c r="AJ53">
        <v>1430</v>
      </c>
      <c r="AK53">
        <v>0</v>
      </c>
      <c r="AL53" s="12">
        <f>R53+S53+W53+X53</f>
        <v>26957</v>
      </c>
      <c r="AM53" s="13">
        <f>IF(AL53&gt;0,AF53/AL53,0)</f>
        <v>0.16619059984419632</v>
      </c>
      <c r="AN53" s="13">
        <f>IF(M53&gt;0,(AF53+AG53+AJ53+AK53)/M53,0)</f>
        <v>0.08780009507962919</v>
      </c>
      <c r="AO53">
        <v>4831</v>
      </c>
      <c r="AP53">
        <v>7530</v>
      </c>
      <c r="AQ53">
        <v>0</v>
      </c>
      <c r="AR53">
        <v>0</v>
      </c>
      <c r="AS53">
        <v>97</v>
      </c>
      <c r="AT53">
        <v>92</v>
      </c>
      <c r="AU53">
        <v>22</v>
      </c>
      <c r="AV53">
        <v>5</v>
      </c>
      <c r="AW53">
        <v>13</v>
      </c>
      <c r="AX53">
        <v>18</v>
      </c>
      <c r="AY53">
        <v>205</v>
      </c>
      <c r="AZ53">
        <v>0</v>
      </c>
      <c r="BA53">
        <v>1791</v>
      </c>
      <c r="BB53">
        <v>8</v>
      </c>
      <c r="BC53">
        <v>9</v>
      </c>
      <c r="BD53">
        <v>0</v>
      </c>
      <c r="BE53">
        <v>13</v>
      </c>
      <c r="BF53">
        <v>27</v>
      </c>
    </row>
    <row r="54" spans="1:58">
      <c r="A54" t="s">
        <v>733</v>
      </c>
      <c r="B54">
        <v>17</v>
      </c>
      <c r="C54">
        <v>1</v>
      </c>
      <c r="D54" t="s">
        <v>731</v>
      </c>
      <c r="E54">
        <v>4</v>
      </c>
      <c r="F54" t="s">
        <v>722</v>
      </c>
      <c r="G54">
        <v>56</v>
      </c>
      <c r="H54">
        <v>59</v>
      </c>
      <c r="I54">
        <v>22</v>
      </c>
      <c r="J54">
        <v>12</v>
      </c>
      <c r="K54">
        <v>5</v>
      </c>
      <c r="L54">
        <v>5</v>
      </c>
      <c r="M54">
        <v>50051</v>
      </c>
      <c r="N54">
        <v>5930</v>
      </c>
      <c r="O54" s="12">
        <f>M54-N54</f>
        <v>44121</v>
      </c>
      <c r="P54">
        <v>701934</v>
      </c>
      <c r="Q54">
        <v>657813</v>
      </c>
      <c r="R54">
        <v>12300</v>
      </c>
      <c r="S54">
        <v>1920</v>
      </c>
      <c r="T54">
        <v>8300</v>
      </c>
      <c r="U54">
        <v>280</v>
      </c>
      <c r="V54">
        <v>670</v>
      </c>
      <c r="W54">
        <v>2400</v>
      </c>
      <c r="X54">
        <v>1190</v>
      </c>
      <c r="Y54">
        <v>0</v>
      </c>
      <c r="Z54">
        <v>625</v>
      </c>
      <c r="AA54">
        <v>6475</v>
      </c>
      <c r="AB54">
        <v>2016</v>
      </c>
      <c r="AC54">
        <v>13875</v>
      </c>
      <c r="AD54">
        <v>0</v>
      </c>
      <c r="AE54">
        <v>0</v>
      </c>
      <c r="AF54">
        <v>4480</v>
      </c>
      <c r="AG54">
        <v>0</v>
      </c>
      <c r="AH54">
        <v>0</v>
      </c>
      <c r="AI54">
        <v>0</v>
      </c>
      <c r="AJ54">
        <v>1450</v>
      </c>
      <c r="AK54">
        <v>0</v>
      </c>
      <c r="AL54" s="12">
        <f>R54+S54+W54+X54</f>
        <v>17810</v>
      </c>
      <c r="AM54" s="13">
        <f>IF(AL54&gt;0,AF54/AL54,0)</f>
        <v>0.2515440763615946</v>
      </c>
      <c r="AN54" s="13">
        <f>IF(M54&gt;0,(AF54+AG54+AJ54+AK54)/M54,0)</f>
        <v>0.11847915126570897</v>
      </c>
      <c r="AO54">
        <v>4430</v>
      </c>
      <c r="AP54">
        <v>7440</v>
      </c>
      <c r="AQ54">
        <v>0</v>
      </c>
      <c r="AR54">
        <v>0</v>
      </c>
      <c r="AS54">
        <v>97</v>
      </c>
      <c r="AT54">
        <v>92</v>
      </c>
      <c r="AU54">
        <v>20</v>
      </c>
      <c r="AV54">
        <v>5</v>
      </c>
      <c r="AW54">
        <v>13</v>
      </c>
      <c r="AX54">
        <v>18</v>
      </c>
      <c r="AY54">
        <v>248</v>
      </c>
      <c r="AZ54">
        <v>0</v>
      </c>
      <c r="BA54">
        <v>2039</v>
      </c>
      <c r="BB54">
        <v>9</v>
      </c>
      <c r="BC54">
        <v>6</v>
      </c>
      <c r="BD54">
        <v>2</v>
      </c>
      <c r="BE54">
        <v>7</v>
      </c>
      <c r="BF54">
        <v>28</v>
      </c>
    </row>
    <row r="55" spans="1:58">
      <c r="A55" t="s">
        <v>733</v>
      </c>
      <c r="B55">
        <v>18</v>
      </c>
      <c r="C55">
        <v>1</v>
      </c>
      <c r="D55" t="s">
        <v>731</v>
      </c>
      <c r="E55">
        <v>1</v>
      </c>
      <c r="F55" t="s">
        <v>722</v>
      </c>
      <c r="G55">
        <v>59</v>
      </c>
      <c r="H55">
        <v>63</v>
      </c>
      <c r="I55">
        <v>24</v>
      </c>
      <c r="J55">
        <v>21</v>
      </c>
      <c r="K55">
        <v>2</v>
      </c>
      <c r="L55">
        <v>1</v>
      </c>
      <c r="M55">
        <v>73716</v>
      </c>
      <c r="N55">
        <v>6400</v>
      </c>
      <c r="O55" s="12">
        <f>M55-N55</f>
        <v>67316</v>
      </c>
      <c r="P55">
        <v>769250</v>
      </c>
      <c r="Q55">
        <v>701934</v>
      </c>
      <c r="R55">
        <v>20804</v>
      </c>
      <c r="S55">
        <v>1760</v>
      </c>
      <c r="T55">
        <v>9980</v>
      </c>
      <c r="U55">
        <v>2640</v>
      </c>
      <c r="V55">
        <v>1420</v>
      </c>
      <c r="W55">
        <v>4400</v>
      </c>
      <c r="X55">
        <v>1190</v>
      </c>
      <c r="Y55">
        <v>0</v>
      </c>
      <c r="Z55">
        <v>1050</v>
      </c>
      <c r="AA55">
        <v>4180</v>
      </c>
      <c r="AB55">
        <v>2688</v>
      </c>
      <c r="AC55">
        <v>23604</v>
      </c>
      <c r="AD55">
        <v>0</v>
      </c>
      <c r="AE55">
        <v>0</v>
      </c>
      <c r="AF55">
        <v>4480</v>
      </c>
      <c r="AG55">
        <v>0</v>
      </c>
      <c r="AH55">
        <v>0</v>
      </c>
      <c r="AI55">
        <v>0</v>
      </c>
      <c r="AJ55">
        <v>1920</v>
      </c>
      <c r="AK55">
        <v>0</v>
      </c>
      <c r="AL55" s="12">
        <f>R55+S55+W55+X55</f>
        <v>28154</v>
      </c>
      <c r="AM55" s="13">
        <f>IF(AL55&gt;0,AF55/AL55,0)</f>
        <v>0.15912481352560914</v>
      </c>
      <c r="AN55" s="13">
        <f>IF(M55&gt;0,(AF55+AG55+AJ55+AK55)/M55,0)</f>
        <v>0.08681968636388301</v>
      </c>
      <c r="AO55">
        <v>4440</v>
      </c>
      <c r="AP55">
        <v>7530</v>
      </c>
      <c r="AQ55">
        <v>0</v>
      </c>
      <c r="AR55">
        <v>0</v>
      </c>
      <c r="AS55">
        <v>97</v>
      </c>
      <c r="AT55">
        <v>92</v>
      </c>
      <c r="AU55">
        <v>20</v>
      </c>
      <c r="AV55">
        <v>5</v>
      </c>
      <c r="AW55">
        <v>13</v>
      </c>
      <c r="AX55">
        <v>18</v>
      </c>
      <c r="AY55">
        <v>304</v>
      </c>
      <c r="AZ55">
        <v>0</v>
      </c>
      <c r="BA55">
        <v>2343</v>
      </c>
      <c r="BB55">
        <v>10</v>
      </c>
      <c r="BC55">
        <v>11</v>
      </c>
      <c r="BD55">
        <v>3</v>
      </c>
      <c r="BE55">
        <v>12</v>
      </c>
      <c r="BF55">
        <v>29</v>
      </c>
    </row>
    <row r="56" spans="1:58">
      <c r="A56" t="s">
        <v>733</v>
      </c>
      <c r="B56">
        <v>19</v>
      </c>
      <c r="C56">
        <v>1</v>
      </c>
      <c r="D56" t="s">
        <v>731</v>
      </c>
      <c r="E56">
        <v>2</v>
      </c>
      <c r="F56" t="s">
        <v>722</v>
      </c>
      <c r="G56">
        <v>63</v>
      </c>
      <c r="H56">
        <v>67</v>
      </c>
      <c r="I56">
        <v>24</v>
      </c>
      <c r="J56">
        <v>15</v>
      </c>
      <c r="K56">
        <v>6</v>
      </c>
      <c r="L56">
        <v>3</v>
      </c>
      <c r="M56">
        <v>63274</v>
      </c>
      <c r="N56">
        <v>5870</v>
      </c>
      <c r="O56" s="12">
        <f>M56-N56</f>
        <v>57404</v>
      </c>
      <c r="P56">
        <v>826654</v>
      </c>
      <c r="Q56">
        <v>769250</v>
      </c>
      <c r="R56">
        <v>16673</v>
      </c>
      <c r="S56">
        <v>1600</v>
      </c>
      <c r="T56">
        <v>9680</v>
      </c>
      <c r="U56">
        <v>2270</v>
      </c>
      <c r="V56">
        <v>400</v>
      </c>
      <c r="W56">
        <v>2800</v>
      </c>
      <c r="X56">
        <v>1190</v>
      </c>
      <c r="Y56">
        <v>0</v>
      </c>
      <c r="Z56">
        <v>1150</v>
      </c>
      <c r="AA56">
        <v>5950</v>
      </c>
      <c r="AB56">
        <v>2688</v>
      </c>
      <c r="AC56">
        <v>18873</v>
      </c>
      <c r="AD56">
        <v>0</v>
      </c>
      <c r="AE56">
        <v>0</v>
      </c>
      <c r="AF56">
        <v>4480</v>
      </c>
      <c r="AG56">
        <v>0</v>
      </c>
      <c r="AH56">
        <v>0</v>
      </c>
      <c r="AI56">
        <v>0</v>
      </c>
      <c r="AJ56">
        <v>1390</v>
      </c>
      <c r="AK56">
        <v>0</v>
      </c>
      <c r="AL56" s="12">
        <f>R56+S56+W56+X56</f>
        <v>22263</v>
      </c>
      <c r="AM56" s="13">
        <f>IF(AL56&gt;0,AF56/AL56,0)</f>
        <v>0.20123074158918386</v>
      </c>
      <c r="AN56" s="13">
        <f>IF(M56&gt;0,(AF56+AG56+AJ56+AK56)/M56,0)</f>
        <v>0.09277112241995132</v>
      </c>
      <c r="AO56">
        <v>3598</v>
      </c>
      <c r="AP56">
        <v>7310</v>
      </c>
      <c r="AQ56">
        <v>0</v>
      </c>
      <c r="AR56">
        <v>0</v>
      </c>
      <c r="AS56">
        <v>97</v>
      </c>
      <c r="AT56">
        <v>92</v>
      </c>
      <c r="AU56">
        <v>16</v>
      </c>
      <c r="AV56">
        <v>5</v>
      </c>
      <c r="AW56">
        <v>13</v>
      </c>
      <c r="AX56">
        <v>18</v>
      </c>
      <c r="AY56">
        <v>252</v>
      </c>
      <c r="AZ56">
        <v>0</v>
      </c>
      <c r="BA56">
        <v>2595</v>
      </c>
      <c r="BB56">
        <v>9</v>
      </c>
      <c r="BC56">
        <v>9</v>
      </c>
      <c r="BD56">
        <v>0</v>
      </c>
      <c r="BE56">
        <v>13</v>
      </c>
      <c r="BF56">
        <v>29</v>
      </c>
    </row>
    <row r="57" spans="1:58">
      <c r="A57" t="s">
        <v>733</v>
      </c>
      <c r="B57">
        <v>20</v>
      </c>
      <c r="C57">
        <v>1</v>
      </c>
      <c r="D57" t="s">
        <v>731</v>
      </c>
      <c r="E57">
        <v>1</v>
      </c>
      <c r="F57" t="s">
        <v>722</v>
      </c>
      <c r="G57">
        <v>67</v>
      </c>
      <c r="H57">
        <v>71</v>
      </c>
      <c r="I57">
        <v>23</v>
      </c>
      <c r="J57">
        <v>18</v>
      </c>
      <c r="K57">
        <v>2</v>
      </c>
      <c r="L57">
        <v>3</v>
      </c>
      <c r="M57">
        <v>58965</v>
      </c>
      <c r="N57">
        <v>5440</v>
      </c>
      <c r="O57" s="12">
        <f>M57-N57</f>
        <v>53525</v>
      </c>
      <c r="P57">
        <v>880179</v>
      </c>
      <c r="Q57">
        <v>826654</v>
      </c>
      <c r="R57">
        <v>17156</v>
      </c>
      <c r="S57">
        <v>1760</v>
      </c>
      <c r="T57">
        <v>2380</v>
      </c>
      <c r="U57">
        <v>2640</v>
      </c>
      <c r="V57">
        <v>1420</v>
      </c>
      <c r="W57">
        <v>4400</v>
      </c>
      <c r="X57">
        <v>1190</v>
      </c>
      <c r="Y57">
        <v>0</v>
      </c>
      <c r="Z57">
        <v>1300</v>
      </c>
      <c r="AA57">
        <v>4225</v>
      </c>
      <c r="AB57">
        <v>2688</v>
      </c>
      <c r="AC57">
        <v>19806</v>
      </c>
      <c r="AD57">
        <v>0</v>
      </c>
      <c r="AE57">
        <v>0</v>
      </c>
      <c r="AF57">
        <v>4480</v>
      </c>
      <c r="AG57">
        <v>0</v>
      </c>
      <c r="AH57">
        <v>0</v>
      </c>
      <c r="AI57">
        <v>0</v>
      </c>
      <c r="AJ57">
        <v>960</v>
      </c>
      <c r="AK57">
        <v>0</v>
      </c>
      <c r="AL57" s="12">
        <f>R57+S57+W57+X57</f>
        <v>24506</v>
      </c>
      <c r="AM57" s="13">
        <f>IF(AL57&gt;0,AF57/AL57,0)</f>
        <v>0.18281237248020893</v>
      </c>
      <c r="AN57" s="13">
        <f>IF(M57&gt;0,(AF57+AG57+AJ57+AK57)/M57,0)</f>
        <v>0.09225811922326804</v>
      </c>
      <c r="AO57">
        <v>4051</v>
      </c>
      <c r="AP57">
        <v>7530</v>
      </c>
      <c r="AQ57">
        <v>0</v>
      </c>
      <c r="AR57">
        <v>0</v>
      </c>
      <c r="AS57">
        <v>97</v>
      </c>
      <c r="AT57">
        <v>92</v>
      </c>
      <c r="AU57">
        <v>18</v>
      </c>
      <c r="AV57">
        <v>5</v>
      </c>
      <c r="AW57">
        <v>13</v>
      </c>
      <c r="AX57">
        <v>18</v>
      </c>
      <c r="AY57">
        <v>127</v>
      </c>
      <c r="AZ57">
        <v>0</v>
      </c>
      <c r="BA57">
        <v>2722</v>
      </c>
      <c r="BB57">
        <v>10</v>
      </c>
      <c r="BC57">
        <v>11</v>
      </c>
      <c r="BD57">
        <v>3</v>
      </c>
      <c r="BE57">
        <v>12</v>
      </c>
      <c r="BF57">
        <v>30</v>
      </c>
    </row>
    <row r="58" spans="1:58">
      <c r="A58" t="s">
        <v>733</v>
      </c>
      <c r="B58">
        <v>21</v>
      </c>
      <c r="C58">
        <v>1</v>
      </c>
      <c r="D58" t="s">
        <v>731</v>
      </c>
      <c r="E58">
        <v>4</v>
      </c>
      <c r="F58" t="s">
        <v>722</v>
      </c>
      <c r="G58">
        <v>71</v>
      </c>
      <c r="H58">
        <v>75</v>
      </c>
      <c r="I58">
        <v>24</v>
      </c>
      <c r="J58">
        <v>15</v>
      </c>
      <c r="K58">
        <v>3</v>
      </c>
      <c r="L58">
        <v>6</v>
      </c>
      <c r="M58">
        <v>50856</v>
      </c>
      <c r="N58">
        <v>5440</v>
      </c>
      <c r="O58" s="12">
        <f>M58-N58</f>
        <v>45416</v>
      </c>
      <c r="P58">
        <v>925595</v>
      </c>
      <c r="Q58">
        <v>880179</v>
      </c>
      <c r="R58">
        <v>12254</v>
      </c>
      <c r="S58">
        <v>1760</v>
      </c>
      <c r="T58">
        <v>9980</v>
      </c>
      <c r="U58">
        <v>280</v>
      </c>
      <c r="V58">
        <v>400</v>
      </c>
      <c r="W58">
        <v>2000</v>
      </c>
      <c r="X58">
        <v>1190</v>
      </c>
      <c r="Y58">
        <v>0</v>
      </c>
      <c r="Z58">
        <v>1050</v>
      </c>
      <c r="AA58">
        <v>4600</v>
      </c>
      <c r="AB58">
        <v>2688</v>
      </c>
      <c r="AC58">
        <v>14654</v>
      </c>
      <c r="AD58">
        <v>0</v>
      </c>
      <c r="AE58">
        <v>0</v>
      </c>
      <c r="AF58">
        <v>4480</v>
      </c>
      <c r="AG58">
        <v>0</v>
      </c>
      <c r="AH58">
        <v>0</v>
      </c>
      <c r="AI58">
        <v>0</v>
      </c>
      <c r="AJ58">
        <v>960</v>
      </c>
      <c r="AK58">
        <v>0</v>
      </c>
      <c r="AL58" s="12">
        <f>R58+S58+W58+X58</f>
        <v>17204</v>
      </c>
      <c r="AM58" s="13">
        <f>IF(AL58&gt;0,AF58/AL58,0)</f>
        <v>0.2604045570797489</v>
      </c>
      <c r="AN58" s="13">
        <f>IF(M58&gt;0,(AF58+AG58+AJ58+AK58)/M58,0)</f>
        <v>0.10696869592575114</v>
      </c>
      <c r="AO58">
        <v>3630</v>
      </c>
      <c r="AP58">
        <v>7360</v>
      </c>
      <c r="AQ58">
        <v>0</v>
      </c>
      <c r="AR58">
        <v>0</v>
      </c>
      <c r="AS58">
        <v>97</v>
      </c>
      <c r="AT58">
        <v>92</v>
      </c>
      <c r="AU58">
        <v>16</v>
      </c>
      <c r="AV58">
        <v>5</v>
      </c>
      <c r="AW58">
        <v>13</v>
      </c>
      <c r="AX58">
        <v>18</v>
      </c>
      <c r="AY58">
        <v>266</v>
      </c>
      <c r="AZ58">
        <v>0</v>
      </c>
      <c r="BA58">
        <v>2988</v>
      </c>
      <c r="BB58">
        <v>10</v>
      </c>
      <c r="BC58">
        <v>8</v>
      </c>
      <c r="BD58">
        <v>0</v>
      </c>
      <c r="BE58">
        <v>12</v>
      </c>
      <c r="BF58">
        <v>30</v>
      </c>
    </row>
    <row r="59" spans="1:58">
      <c r="A59" t="s">
        <v>733</v>
      </c>
      <c r="B59">
        <v>22</v>
      </c>
      <c r="C59">
        <v>1</v>
      </c>
      <c r="D59" t="s">
        <v>731</v>
      </c>
      <c r="E59">
        <v>1</v>
      </c>
      <c r="F59" t="s">
        <v>722</v>
      </c>
      <c r="G59">
        <v>75</v>
      </c>
      <c r="H59">
        <v>79</v>
      </c>
      <c r="I59">
        <v>24</v>
      </c>
      <c r="J59">
        <v>18</v>
      </c>
      <c r="K59">
        <v>4</v>
      </c>
      <c r="L59">
        <v>2</v>
      </c>
      <c r="M59">
        <v>63562</v>
      </c>
      <c r="N59">
        <v>5440</v>
      </c>
      <c r="O59" s="12">
        <f>M59-N59</f>
        <v>58122</v>
      </c>
      <c r="P59">
        <v>983717</v>
      </c>
      <c r="Q59">
        <v>925595</v>
      </c>
      <c r="R59">
        <v>16492</v>
      </c>
      <c r="S59">
        <v>1760</v>
      </c>
      <c r="T59">
        <v>9830</v>
      </c>
      <c r="U59">
        <v>2640</v>
      </c>
      <c r="V59">
        <v>1420</v>
      </c>
      <c r="W59">
        <v>3600</v>
      </c>
      <c r="X59">
        <v>1190</v>
      </c>
      <c r="Y59">
        <v>0</v>
      </c>
      <c r="Z59">
        <v>1150</v>
      </c>
      <c r="AA59">
        <v>3800</v>
      </c>
      <c r="AB59">
        <v>2688</v>
      </c>
      <c r="AC59">
        <v>18992</v>
      </c>
      <c r="AD59">
        <v>0</v>
      </c>
      <c r="AE59">
        <v>0</v>
      </c>
      <c r="AF59">
        <v>4480</v>
      </c>
      <c r="AG59">
        <v>0</v>
      </c>
      <c r="AH59">
        <v>0</v>
      </c>
      <c r="AI59">
        <v>0</v>
      </c>
      <c r="AJ59">
        <v>960</v>
      </c>
      <c r="AK59">
        <v>0</v>
      </c>
      <c r="AL59" s="12">
        <f>R59+S59+W59+X59</f>
        <v>23042</v>
      </c>
      <c r="AM59" s="13">
        <f>IF(AL59&gt;0,AF59/AL59,0)</f>
        <v>0.19442756705147124</v>
      </c>
      <c r="AN59" s="13">
        <f>IF(M59&gt;0,(AF59+AG59+AJ59+AK59)/M59,0)</f>
        <v>0.08558572732135553</v>
      </c>
      <c r="AO59">
        <v>3432</v>
      </c>
      <c r="AP59">
        <v>7530</v>
      </c>
      <c r="AQ59">
        <v>0</v>
      </c>
      <c r="AR59">
        <v>0</v>
      </c>
      <c r="AS59">
        <v>97</v>
      </c>
      <c r="AT59">
        <v>92</v>
      </c>
      <c r="AU59">
        <v>15</v>
      </c>
      <c r="AV59">
        <v>5</v>
      </c>
      <c r="AW59">
        <v>13</v>
      </c>
      <c r="AX59">
        <v>18</v>
      </c>
      <c r="AY59">
        <v>308</v>
      </c>
      <c r="AZ59">
        <v>0</v>
      </c>
      <c r="BA59">
        <v>3296</v>
      </c>
      <c r="BB59">
        <v>9</v>
      </c>
      <c r="BC59">
        <v>10</v>
      </c>
      <c r="BD59">
        <v>0</v>
      </c>
      <c r="BE59">
        <v>14</v>
      </c>
      <c r="BF59">
        <v>31</v>
      </c>
    </row>
    <row r="60" spans="1:58">
      <c r="A60" t="s">
        <v>733</v>
      </c>
      <c r="B60">
        <v>23</v>
      </c>
      <c r="C60">
        <v>1</v>
      </c>
      <c r="D60" t="s">
        <v>731</v>
      </c>
      <c r="E60">
        <v>1</v>
      </c>
      <c r="F60" t="s">
        <v>722</v>
      </c>
      <c r="G60">
        <v>79</v>
      </c>
      <c r="H60">
        <v>83</v>
      </c>
      <c r="I60">
        <v>24</v>
      </c>
      <c r="J60">
        <v>16</v>
      </c>
      <c r="K60">
        <v>6</v>
      </c>
      <c r="L60">
        <v>2</v>
      </c>
      <c r="M60">
        <v>59813</v>
      </c>
      <c r="N60">
        <v>6400</v>
      </c>
      <c r="O60" s="12">
        <f>M60-N60</f>
        <v>53413</v>
      </c>
      <c r="P60">
        <v>1037130</v>
      </c>
      <c r="Q60">
        <v>983717</v>
      </c>
      <c r="R60">
        <v>14810</v>
      </c>
      <c r="S60">
        <v>1760</v>
      </c>
      <c r="T60">
        <v>9830</v>
      </c>
      <c r="U60">
        <v>2640</v>
      </c>
      <c r="V60">
        <v>1150</v>
      </c>
      <c r="W60">
        <v>2800</v>
      </c>
      <c r="X60">
        <v>1190</v>
      </c>
      <c r="Y60">
        <v>0</v>
      </c>
      <c r="Z60">
        <v>975</v>
      </c>
      <c r="AA60">
        <v>4560</v>
      </c>
      <c r="AB60">
        <v>2688</v>
      </c>
      <c r="AC60">
        <v>17410</v>
      </c>
      <c r="AD60">
        <v>0</v>
      </c>
      <c r="AE60">
        <v>0</v>
      </c>
      <c r="AF60">
        <v>4480</v>
      </c>
      <c r="AG60">
        <v>0</v>
      </c>
      <c r="AH60">
        <v>0</v>
      </c>
      <c r="AI60">
        <v>0</v>
      </c>
      <c r="AJ60">
        <v>1920</v>
      </c>
      <c r="AK60">
        <v>0</v>
      </c>
      <c r="AL60" s="12">
        <f>R60+S60+W60+X60</f>
        <v>20560</v>
      </c>
      <c r="AM60" s="13">
        <f>IF(AL60&gt;0,AF60/AL60,0)</f>
        <v>0.2178988326848249</v>
      </c>
      <c r="AN60" s="13">
        <f>IF(M60&gt;0,(AF60+AG60+AJ60+AK60)/M60,0)</f>
        <v>0.1070001504689616</v>
      </c>
      <c r="AO60">
        <v>3624</v>
      </c>
      <c r="AP60">
        <v>7440</v>
      </c>
      <c r="AQ60">
        <v>0</v>
      </c>
      <c r="AR60">
        <v>0</v>
      </c>
      <c r="AS60">
        <v>97</v>
      </c>
      <c r="AT60">
        <v>92</v>
      </c>
      <c r="AU60">
        <v>16</v>
      </c>
      <c r="AV60">
        <v>5</v>
      </c>
      <c r="AW60">
        <v>13</v>
      </c>
      <c r="AX60">
        <v>18</v>
      </c>
      <c r="AY60">
        <v>296</v>
      </c>
      <c r="AZ60">
        <v>0</v>
      </c>
      <c r="BA60">
        <v>3592</v>
      </c>
      <c r="BB60">
        <v>9</v>
      </c>
      <c r="BC60">
        <v>8</v>
      </c>
      <c r="BD60">
        <v>2</v>
      </c>
      <c r="BE60">
        <v>10</v>
      </c>
      <c r="BF60">
        <v>32</v>
      </c>
    </row>
    <row r="61" spans="1:58">
      <c r="A61" t="s">
        <v>733</v>
      </c>
      <c r="B61">
        <v>24</v>
      </c>
      <c r="C61">
        <v>1</v>
      </c>
      <c r="D61" t="s">
        <v>731</v>
      </c>
      <c r="E61">
        <v>2</v>
      </c>
      <c r="F61" t="s">
        <v>722</v>
      </c>
      <c r="G61">
        <v>83</v>
      </c>
      <c r="H61">
        <v>87</v>
      </c>
      <c r="I61">
        <v>24</v>
      </c>
      <c r="J61">
        <v>18</v>
      </c>
      <c r="K61">
        <v>2</v>
      </c>
      <c r="L61">
        <v>4</v>
      </c>
      <c r="M61">
        <v>56137</v>
      </c>
      <c r="N61">
        <v>5900</v>
      </c>
      <c r="O61" s="12">
        <f>M61-N61</f>
        <v>50237</v>
      </c>
      <c r="P61">
        <v>1087367</v>
      </c>
      <c r="Q61">
        <v>1037130</v>
      </c>
      <c r="R61">
        <v>14657</v>
      </c>
      <c r="S61">
        <v>1920</v>
      </c>
      <c r="T61">
        <v>5630</v>
      </c>
      <c r="U61">
        <v>2270</v>
      </c>
      <c r="V61">
        <v>670</v>
      </c>
      <c r="W61">
        <v>4000</v>
      </c>
      <c r="X61">
        <v>1190</v>
      </c>
      <c r="Y61">
        <v>0</v>
      </c>
      <c r="Z61">
        <v>1025</v>
      </c>
      <c r="AA61">
        <v>5080</v>
      </c>
      <c r="AB61">
        <v>2688</v>
      </c>
      <c r="AC61">
        <v>17007</v>
      </c>
      <c r="AD61">
        <v>0</v>
      </c>
      <c r="AE61">
        <v>0</v>
      </c>
      <c r="AF61">
        <v>4480</v>
      </c>
      <c r="AG61">
        <v>0</v>
      </c>
      <c r="AH61">
        <v>0</v>
      </c>
      <c r="AI61">
        <v>0</v>
      </c>
      <c r="AJ61">
        <v>1420</v>
      </c>
      <c r="AK61">
        <v>0</v>
      </c>
      <c r="AL61" s="12">
        <f>R61+S61+W61+X61</f>
        <v>21767</v>
      </c>
      <c r="AM61" s="13">
        <f>IF(AL61&gt;0,AF61/AL61,0)</f>
        <v>0.20581614370377177</v>
      </c>
      <c r="AN61" s="13">
        <f>IF(M61&gt;0,(AF61+AG61+AJ61+AK61)/M61,0)</f>
        <v>0.10510002315763223</v>
      </c>
      <c r="AO61">
        <v>3628</v>
      </c>
      <c r="AP61">
        <v>7390</v>
      </c>
      <c r="AQ61">
        <v>0</v>
      </c>
      <c r="AR61">
        <v>0</v>
      </c>
      <c r="AS61">
        <v>97</v>
      </c>
      <c r="AT61">
        <v>92</v>
      </c>
      <c r="AU61">
        <v>16</v>
      </c>
      <c r="AV61">
        <v>5</v>
      </c>
      <c r="AW61">
        <v>13</v>
      </c>
      <c r="AX61">
        <v>18</v>
      </c>
      <c r="AY61">
        <v>182</v>
      </c>
      <c r="AZ61">
        <v>0</v>
      </c>
      <c r="BA61">
        <v>3774</v>
      </c>
      <c r="BB61">
        <v>9</v>
      </c>
      <c r="BC61">
        <v>9</v>
      </c>
      <c r="BD61">
        <v>1</v>
      </c>
      <c r="BE61">
        <v>12</v>
      </c>
      <c r="BF61">
        <v>32</v>
      </c>
    </row>
    <row r="62" spans="1:58">
      <c r="A62" t="s">
        <v>733</v>
      </c>
      <c r="B62">
        <v>25</v>
      </c>
      <c r="C62">
        <v>1</v>
      </c>
      <c r="D62" t="s">
        <v>731</v>
      </c>
      <c r="E62">
        <v>3</v>
      </c>
      <c r="F62" t="s">
        <v>722</v>
      </c>
      <c r="G62">
        <v>87</v>
      </c>
      <c r="H62">
        <v>91</v>
      </c>
      <c r="I62">
        <v>21</v>
      </c>
      <c r="J62">
        <v>9</v>
      </c>
      <c r="K62">
        <v>7</v>
      </c>
      <c r="L62">
        <v>5</v>
      </c>
      <c r="M62">
        <v>39456</v>
      </c>
      <c r="N62">
        <v>5920</v>
      </c>
      <c r="O62" s="12">
        <f>M62-N62</f>
        <v>33536</v>
      </c>
      <c r="P62">
        <v>1120903</v>
      </c>
      <c r="Q62">
        <v>1087367</v>
      </c>
      <c r="R62">
        <v>8914</v>
      </c>
      <c r="S62">
        <v>1760</v>
      </c>
      <c r="T62">
        <v>4950</v>
      </c>
      <c r="U62">
        <v>350</v>
      </c>
      <c r="V62">
        <v>270</v>
      </c>
      <c r="W62">
        <v>2400</v>
      </c>
      <c r="X62">
        <v>1190</v>
      </c>
      <c r="Y62">
        <v>0</v>
      </c>
      <c r="Z62">
        <v>1400</v>
      </c>
      <c r="AA62">
        <v>3820</v>
      </c>
      <c r="AB62">
        <v>2688</v>
      </c>
      <c r="AC62">
        <v>11714</v>
      </c>
      <c r="AD62">
        <v>0</v>
      </c>
      <c r="AE62">
        <v>0</v>
      </c>
      <c r="AF62">
        <v>4480</v>
      </c>
      <c r="AG62">
        <v>0</v>
      </c>
      <c r="AH62">
        <v>0</v>
      </c>
      <c r="AI62">
        <v>0</v>
      </c>
      <c r="AJ62">
        <v>1440</v>
      </c>
      <c r="AK62">
        <v>0</v>
      </c>
      <c r="AL62" s="12">
        <f>R62+S62+W62+X62</f>
        <v>14264</v>
      </c>
      <c r="AM62" s="13">
        <f>IF(AL62&gt;0,AF62/AL62,0)</f>
        <v>0.3140773976444195</v>
      </c>
      <c r="AN62" s="13">
        <f>IF(M62&gt;0,(AF62+AG62+AJ62+AK62)/M62,0)</f>
        <v>0.15004055150040552</v>
      </c>
      <c r="AO62">
        <v>3670</v>
      </c>
      <c r="AP62">
        <v>7250</v>
      </c>
      <c r="AQ62">
        <v>0</v>
      </c>
      <c r="AR62">
        <v>0</v>
      </c>
      <c r="AS62">
        <v>97</v>
      </c>
      <c r="AT62">
        <v>92</v>
      </c>
      <c r="AU62">
        <v>16</v>
      </c>
      <c r="AV62">
        <v>5</v>
      </c>
      <c r="AW62">
        <v>13</v>
      </c>
      <c r="AX62">
        <v>18</v>
      </c>
      <c r="AY62">
        <v>162</v>
      </c>
      <c r="AZ62">
        <v>0</v>
      </c>
      <c r="BA62">
        <v>3936</v>
      </c>
      <c r="BB62">
        <v>9</v>
      </c>
      <c r="BC62">
        <v>12</v>
      </c>
      <c r="BD62">
        <v>0</v>
      </c>
      <c r="BE62">
        <v>16</v>
      </c>
      <c r="BF62">
        <v>33</v>
      </c>
    </row>
    <row r="63" spans="1:58">
      <c r="A63" t="s">
        <v>733</v>
      </c>
      <c r="B63">
        <v>26</v>
      </c>
      <c r="C63">
        <v>1</v>
      </c>
      <c r="D63" t="s">
        <v>731</v>
      </c>
      <c r="E63">
        <v>1</v>
      </c>
      <c r="F63" t="s">
        <v>722</v>
      </c>
      <c r="G63">
        <v>91</v>
      </c>
      <c r="H63">
        <v>94</v>
      </c>
      <c r="I63">
        <v>22</v>
      </c>
      <c r="J63">
        <v>17</v>
      </c>
      <c r="K63">
        <v>3</v>
      </c>
      <c r="L63">
        <v>2</v>
      </c>
      <c r="M63">
        <v>55600</v>
      </c>
      <c r="N63">
        <v>6400</v>
      </c>
      <c r="O63" s="12">
        <f>M63-N63</f>
        <v>49200</v>
      </c>
      <c r="P63">
        <v>1170103</v>
      </c>
      <c r="Q63">
        <v>1120903</v>
      </c>
      <c r="R63">
        <v>15767</v>
      </c>
      <c r="S63">
        <v>1600</v>
      </c>
      <c r="T63">
        <v>5030</v>
      </c>
      <c r="U63">
        <v>2640</v>
      </c>
      <c r="V63">
        <v>1150</v>
      </c>
      <c r="W63">
        <v>4000</v>
      </c>
      <c r="X63">
        <v>1190</v>
      </c>
      <c r="Y63">
        <v>0</v>
      </c>
      <c r="Z63">
        <v>650</v>
      </c>
      <c r="AA63">
        <v>4215</v>
      </c>
      <c r="AB63">
        <v>2016</v>
      </c>
      <c r="AC63">
        <v>17342</v>
      </c>
      <c r="AD63">
        <v>0</v>
      </c>
      <c r="AE63">
        <v>0</v>
      </c>
      <c r="AF63">
        <v>4480</v>
      </c>
      <c r="AG63">
        <v>0</v>
      </c>
      <c r="AH63">
        <v>0</v>
      </c>
      <c r="AI63">
        <v>0</v>
      </c>
      <c r="AJ63">
        <v>1920</v>
      </c>
      <c r="AK63">
        <v>0</v>
      </c>
      <c r="AL63" s="12">
        <f>R63+S63+W63+X63</f>
        <v>22557</v>
      </c>
      <c r="AM63" s="13">
        <f>IF(AL63&gt;0,AF63/AL63,0)</f>
        <v>0.19860797091811855</v>
      </c>
      <c r="AN63" s="13">
        <f>IF(M63&gt;0,(AF63+AG63+AJ63+AK63)/M63,0)</f>
        <v>0.11510791366906475</v>
      </c>
      <c r="AO63">
        <v>3908</v>
      </c>
      <c r="AP63">
        <v>7530</v>
      </c>
      <c r="AQ63">
        <v>0</v>
      </c>
      <c r="AR63">
        <v>0</v>
      </c>
      <c r="AS63">
        <v>97</v>
      </c>
      <c r="AT63">
        <v>91</v>
      </c>
      <c r="AU63">
        <v>17</v>
      </c>
      <c r="AV63">
        <v>5</v>
      </c>
      <c r="AW63">
        <v>13</v>
      </c>
      <c r="AX63">
        <v>18</v>
      </c>
      <c r="AY63">
        <v>198</v>
      </c>
      <c r="AZ63">
        <v>0</v>
      </c>
      <c r="BA63">
        <v>4134</v>
      </c>
      <c r="BB63">
        <v>8</v>
      </c>
      <c r="BC63">
        <v>6</v>
      </c>
      <c r="BD63">
        <v>2</v>
      </c>
      <c r="BE63">
        <v>7</v>
      </c>
      <c r="BF63">
        <v>33</v>
      </c>
    </row>
    <row r="64" spans="1:58">
      <c r="A64" t="s">
        <v>733</v>
      </c>
      <c r="B64">
        <v>27</v>
      </c>
      <c r="C64">
        <v>1</v>
      </c>
      <c r="D64" t="s">
        <v>731</v>
      </c>
      <c r="E64">
        <v>2</v>
      </c>
      <c r="F64" t="s">
        <v>722</v>
      </c>
      <c r="G64">
        <v>94</v>
      </c>
      <c r="H64">
        <v>98</v>
      </c>
      <c r="I64">
        <v>23</v>
      </c>
      <c r="J64">
        <v>14</v>
      </c>
      <c r="K64">
        <v>7</v>
      </c>
      <c r="L64">
        <v>2</v>
      </c>
      <c r="M64">
        <v>53900</v>
      </c>
      <c r="N64">
        <v>5440</v>
      </c>
      <c r="O64" s="12">
        <f>M64-N64</f>
        <v>48460</v>
      </c>
      <c r="P64">
        <v>1218563</v>
      </c>
      <c r="Q64">
        <v>1170103</v>
      </c>
      <c r="R64">
        <v>13246</v>
      </c>
      <c r="S64">
        <v>1760</v>
      </c>
      <c r="T64">
        <v>8540</v>
      </c>
      <c r="U64">
        <v>2270</v>
      </c>
      <c r="V64">
        <v>400</v>
      </c>
      <c r="W64">
        <v>2400</v>
      </c>
      <c r="X64">
        <v>1190</v>
      </c>
      <c r="Y64">
        <v>0</v>
      </c>
      <c r="Z64">
        <v>1425</v>
      </c>
      <c r="AA64">
        <v>3935</v>
      </c>
      <c r="AB64">
        <v>2688</v>
      </c>
      <c r="AC64">
        <v>16046</v>
      </c>
      <c r="AD64">
        <v>0</v>
      </c>
      <c r="AE64">
        <v>0</v>
      </c>
      <c r="AF64">
        <v>4480</v>
      </c>
      <c r="AG64">
        <v>0</v>
      </c>
      <c r="AH64">
        <v>0</v>
      </c>
      <c r="AI64">
        <v>0</v>
      </c>
      <c r="AJ64">
        <v>960</v>
      </c>
      <c r="AK64">
        <v>0</v>
      </c>
      <c r="AL64" s="12">
        <f>R64+S64+W64+X64</f>
        <v>18596</v>
      </c>
      <c r="AM64" s="13">
        <f>IF(AL64&gt;0,AF64/AL64,0)</f>
        <v>0.2409120240912024</v>
      </c>
      <c r="AN64" s="13">
        <f>IF(M64&gt;0,(AF64+AG64+AJ64+AK64)/M64,0)</f>
        <v>0.10092764378478664</v>
      </c>
      <c r="AO64">
        <v>3481</v>
      </c>
      <c r="AP64">
        <v>7360</v>
      </c>
      <c r="AQ64">
        <v>0</v>
      </c>
      <c r="AR64">
        <v>0</v>
      </c>
      <c r="AS64">
        <v>97</v>
      </c>
      <c r="AT64">
        <v>92</v>
      </c>
      <c r="AU64">
        <v>15</v>
      </c>
      <c r="AV64">
        <v>5</v>
      </c>
      <c r="AW64">
        <v>13</v>
      </c>
      <c r="AX64">
        <v>18</v>
      </c>
      <c r="AY64">
        <v>219</v>
      </c>
      <c r="AZ64">
        <v>0</v>
      </c>
      <c r="BA64">
        <v>4353</v>
      </c>
      <c r="BB64">
        <v>9</v>
      </c>
      <c r="BC64">
        <v>9</v>
      </c>
      <c r="BD64">
        <v>0</v>
      </c>
      <c r="BE64">
        <v>13</v>
      </c>
      <c r="BF64">
        <v>34</v>
      </c>
    </row>
    <row r="65" spans="1:58">
      <c r="A65" t="s">
        <v>733</v>
      </c>
      <c r="B65">
        <v>28</v>
      </c>
      <c r="C65">
        <v>1</v>
      </c>
      <c r="D65" t="s">
        <v>731</v>
      </c>
      <c r="E65">
        <v>1</v>
      </c>
      <c r="F65" t="s">
        <v>722</v>
      </c>
      <c r="G65">
        <v>98</v>
      </c>
      <c r="H65">
        <v>102</v>
      </c>
      <c r="I65">
        <v>22</v>
      </c>
      <c r="J65">
        <v>16</v>
      </c>
      <c r="K65">
        <v>1</v>
      </c>
      <c r="L65">
        <v>5</v>
      </c>
      <c r="M65">
        <v>51726</v>
      </c>
      <c r="N65">
        <v>4970</v>
      </c>
      <c r="O65" s="12">
        <f>M65-N65</f>
        <v>46756</v>
      </c>
      <c r="P65">
        <v>1265319</v>
      </c>
      <c r="Q65">
        <v>1218563</v>
      </c>
      <c r="R65">
        <v>12069</v>
      </c>
      <c r="S65">
        <v>1920</v>
      </c>
      <c r="T65">
        <v>6480</v>
      </c>
      <c r="U65">
        <v>2640</v>
      </c>
      <c r="V65">
        <v>1020</v>
      </c>
      <c r="W65">
        <v>4000</v>
      </c>
      <c r="X65">
        <v>1190</v>
      </c>
      <c r="Y65">
        <v>0</v>
      </c>
      <c r="Z65">
        <v>825</v>
      </c>
      <c r="AA65">
        <v>4625</v>
      </c>
      <c r="AB65">
        <v>2688</v>
      </c>
      <c r="AC65">
        <v>14269</v>
      </c>
      <c r="AD65">
        <v>0</v>
      </c>
      <c r="AE65">
        <v>0</v>
      </c>
      <c r="AF65">
        <v>4480</v>
      </c>
      <c r="AG65">
        <v>0</v>
      </c>
      <c r="AH65">
        <v>0</v>
      </c>
      <c r="AI65">
        <v>0</v>
      </c>
      <c r="AJ65">
        <v>490</v>
      </c>
      <c r="AK65">
        <v>0</v>
      </c>
      <c r="AL65" s="12">
        <f>R65+S65+W65+X65</f>
        <v>19179</v>
      </c>
      <c r="AM65" s="13">
        <f>IF(AL65&gt;0,AF65/AL65,0)</f>
        <v>0.2335888211064185</v>
      </c>
      <c r="AN65" s="13">
        <f>IF(M65&gt;0,(AF65+AG65+AJ65+AK65)/M65,0)</f>
        <v>0.09608320767119051</v>
      </c>
      <c r="AO65">
        <v>3942</v>
      </c>
      <c r="AP65">
        <v>7530</v>
      </c>
      <c r="AQ65">
        <v>0</v>
      </c>
      <c r="AR65">
        <v>0</v>
      </c>
      <c r="AS65">
        <v>98</v>
      </c>
      <c r="AT65">
        <v>92</v>
      </c>
      <c r="AU65">
        <v>17</v>
      </c>
      <c r="AV65">
        <v>5</v>
      </c>
      <c r="AW65">
        <v>13</v>
      </c>
      <c r="AX65">
        <v>18</v>
      </c>
      <c r="AY65">
        <v>224</v>
      </c>
      <c r="AZ65">
        <v>0</v>
      </c>
      <c r="BA65">
        <v>4577</v>
      </c>
      <c r="BB65">
        <v>9</v>
      </c>
      <c r="BC65">
        <v>8</v>
      </c>
      <c r="BD65">
        <v>2</v>
      </c>
      <c r="BE65">
        <v>10</v>
      </c>
      <c r="BF65">
        <v>34</v>
      </c>
    </row>
    <row r="66" spans="1:58">
      <c r="A66" t="s">
        <v>733</v>
      </c>
      <c r="B66">
        <v>29</v>
      </c>
      <c r="C66">
        <v>1</v>
      </c>
      <c r="D66" t="s">
        <v>731</v>
      </c>
      <c r="E66">
        <v>1</v>
      </c>
      <c r="F66" t="s">
        <v>722</v>
      </c>
      <c r="G66">
        <v>102</v>
      </c>
      <c r="H66">
        <v>106</v>
      </c>
      <c r="I66">
        <v>23</v>
      </c>
      <c r="J66">
        <v>18</v>
      </c>
      <c r="K66">
        <v>2</v>
      </c>
      <c r="L66">
        <v>3</v>
      </c>
      <c r="M66">
        <v>56636</v>
      </c>
      <c r="N66">
        <v>5940</v>
      </c>
      <c r="O66" s="12">
        <f>M66-N66</f>
        <v>50696</v>
      </c>
      <c r="P66">
        <v>1316015</v>
      </c>
      <c r="Q66">
        <v>1265319</v>
      </c>
      <c r="R66">
        <v>15369</v>
      </c>
      <c r="S66">
        <v>1760</v>
      </c>
      <c r="T66">
        <v>4340</v>
      </c>
      <c r="U66">
        <v>2640</v>
      </c>
      <c r="V66">
        <v>1150</v>
      </c>
      <c r="W66">
        <v>4400</v>
      </c>
      <c r="X66">
        <v>1190</v>
      </c>
      <c r="Y66">
        <v>0</v>
      </c>
      <c r="Z66">
        <v>1225</v>
      </c>
      <c r="AA66">
        <v>3855</v>
      </c>
      <c r="AB66">
        <v>2688</v>
      </c>
      <c r="AC66">
        <v>18019</v>
      </c>
      <c r="AD66">
        <v>0</v>
      </c>
      <c r="AE66">
        <v>0</v>
      </c>
      <c r="AF66">
        <v>4480</v>
      </c>
      <c r="AG66">
        <v>0</v>
      </c>
      <c r="AH66">
        <v>0</v>
      </c>
      <c r="AI66">
        <v>0</v>
      </c>
      <c r="AJ66">
        <v>1460</v>
      </c>
      <c r="AK66">
        <v>0</v>
      </c>
      <c r="AL66" s="12">
        <f>R66+S66+W66+X66</f>
        <v>22719</v>
      </c>
      <c r="AM66" s="13">
        <f>IF(AL66&gt;0,AF66/AL66,0)</f>
        <v>0.1971917778071218</v>
      </c>
      <c r="AN66" s="13">
        <f>IF(M66&gt;0,(AF66+AG66+AJ66+AK66)/M66,0)</f>
        <v>0.10488028815594322</v>
      </c>
      <c r="AO66">
        <v>3745</v>
      </c>
      <c r="AP66">
        <v>7440</v>
      </c>
      <c r="AQ66">
        <v>0</v>
      </c>
      <c r="AR66">
        <v>0</v>
      </c>
      <c r="AS66">
        <v>98</v>
      </c>
      <c r="AT66">
        <v>92</v>
      </c>
      <c r="AU66">
        <v>16</v>
      </c>
      <c r="AV66">
        <v>5</v>
      </c>
      <c r="AW66">
        <v>13</v>
      </c>
      <c r="AX66">
        <v>18</v>
      </c>
      <c r="AY66">
        <v>169</v>
      </c>
      <c r="AZ66">
        <v>0</v>
      </c>
      <c r="BA66">
        <v>4746</v>
      </c>
      <c r="BB66">
        <v>8</v>
      </c>
      <c r="BC66">
        <v>9</v>
      </c>
      <c r="BD66">
        <v>0</v>
      </c>
      <c r="BE66">
        <v>13</v>
      </c>
      <c r="BF66">
        <v>34</v>
      </c>
    </row>
    <row r="67" spans="1:58">
      <c r="A67" t="s">
        <v>733</v>
      </c>
      <c r="B67">
        <v>30</v>
      </c>
      <c r="C67">
        <v>1</v>
      </c>
      <c r="D67" t="s">
        <v>731</v>
      </c>
      <c r="E67">
        <v>2</v>
      </c>
      <c r="F67" t="s">
        <v>722</v>
      </c>
      <c r="G67">
        <v>106</v>
      </c>
      <c r="H67">
        <v>110</v>
      </c>
      <c r="I67">
        <v>24</v>
      </c>
      <c r="J67">
        <v>19</v>
      </c>
      <c r="K67">
        <v>2</v>
      </c>
      <c r="L67">
        <v>3</v>
      </c>
      <c r="M67">
        <v>67427</v>
      </c>
      <c r="N67">
        <v>6420</v>
      </c>
      <c r="O67" s="12">
        <f>M67-N67</f>
        <v>61007</v>
      </c>
      <c r="P67">
        <v>1377022</v>
      </c>
      <c r="Q67">
        <v>1316015</v>
      </c>
      <c r="R67">
        <v>17917</v>
      </c>
      <c r="S67">
        <v>1760</v>
      </c>
      <c r="T67">
        <v>9830</v>
      </c>
      <c r="U67">
        <v>2270</v>
      </c>
      <c r="V67">
        <v>670</v>
      </c>
      <c r="W67">
        <v>4000</v>
      </c>
      <c r="X67">
        <v>1190</v>
      </c>
      <c r="Y67">
        <v>0</v>
      </c>
      <c r="Z67">
        <v>1450</v>
      </c>
      <c r="AA67">
        <v>5335</v>
      </c>
      <c r="AB67">
        <v>2688</v>
      </c>
      <c r="AC67">
        <v>20317</v>
      </c>
      <c r="AD67">
        <v>0</v>
      </c>
      <c r="AE67">
        <v>0</v>
      </c>
      <c r="AF67">
        <v>4480</v>
      </c>
      <c r="AG67">
        <v>0</v>
      </c>
      <c r="AH67">
        <v>0</v>
      </c>
      <c r="AI67">
        <v>0</v>
      </c>
      <c r="AJ67">
        <v>1940</v>
      </c>
      <c r="AK67">
        <v>0</v>
      </c>
      <c r="AL67" s="12">
        <f>R67+S67+W67+X67</f>
        <v>24867</v>
      </c>
      <c r="AM67" s="13">
        <f>IF(AL67&gt;0,AF67/AL67,0)</f>
        <v>0.1801584429163148</v>
      </c>
      <c r="AN67" s="13">
        <f>IF(M67&gt;0,(AF67+AG67+AJ67+AK67)/M67,0)</f>
        <v>0.0952140833790618</v>
      </c>
      <c r="AO67">
        <v>3733</v>
      </c>
      <c r="AP67">
        <v>7390</v>
      </c>
      <c r="AQ67">
        <v>0</v>
      </c>
      <c r="AR67">
        <v>0</v>
      </c>
      <c r="AS67">
        <v>98</v>
      </c>
      <c r="AT67">
        <v>92</v>
      </c>
      <c r="AU67">
        <v>16</v>
      </c>
      <c r="AV67">
        <v>5</v>
      </c>
      <c r="AW67">
        <v>13</v>
      </c>
      <c r="AX67">
        <v>18</v>
      </c>
      <c r="AY67">
        <v>265</v>
      </c>
      <c r="AZ67">
        <v>0</v>
      </c>
      <c r="BA67">
        <v>5011</v>
      </c>
      <c r="BB67">
        <v>11</v>
      </c>
      <c r="BC67">
        <v>11</v>
      </c>
      <c r="BD67">
        <v>0</v>
      </c>
      <c r="BE67">
        <v>15</v>
      </c>
      <c r="BF67">
        <v>35</v>
      </c>
    </row>
    <row r="68" spans="1:58">
      <c r="A68" t="s">
        <v>733</v>
      </c>
      <c r="B68">
        <v>31</v>
      </c>
      <c r="C68">
        <v>1</v>
      </c>
      <c r="D68" t="s">
        <v>731</v>
      </c>
      <c r="E68">
        <v>2</v>
      </c>
      <c r="F68" t="s">
        <v>722</v>
      </c>
      <c r="G68">
        <v>110</v>
      </c>
      <c r="H68">
        <v>114</v>
      </c>
      <c r="I68">
        <v>24</v>
      </c>
      <c r="J68">
        <v>17</v>
      </c>
      <c r="K68">
        <v>2</v>
      </c>
      <c r="L68">
        <v>5</v>
      </c>
      <c r="M68">
        <v>56393</v>
      </c>
      <c r="N68">
        <v>5930</v>
      </c>
      <c r="O68" s="12">
        <f>M68-N68</f>
        <v>50463</v>
      </c>
      <c r="P68">
        <v>1427485</v>
      </c>
      <c r="Q68">
        <v>1377022</v>
      </c>
      <c r="R68">
        <v>13665</v>
      </c>
      <c r="S68">
        <v>1760</v>
      </c>
      <c r="T68">
        <v>9830</v>
      </c>
      <c r="U68">
        <v>2270</v>
      </c>
      <c r="V68">
        <v>400</v>
      </c>
      <c r="W68">
        <v>3200</v>
      </c>
      <c r="X68">
        <v>1190</v>
      </c>
      <c r="Y68">
        <v>0</v>
      </c>
      <c r="Z68">
        <v>1225</v>
      </c>
      <c r="AA68">
        <v>4000</v>
      </c>
      <c r="AB68">
        <v>2688</v>
      </c>
      <c r="AC68">
        <v>16165</v>
      </c>
      <c r="AD68">
        <v>0</v>
      </c>
      <c r="AE68">
        <v>0</v>
      </c>
      <c r="AF68">
        <v>4480</v>
      </c>
      <c r="AG68">
        <v>0</v>
      </c>
      <c r="AH68">
        <v>0</v>
      </c>
      <c r="AI68">
        <v>0</v>
      </c>
      <c r="AJ68">
        <v>1450</v>
      </c>
      <c r="AK68">
        <v>0</v>
      </c>
      <c r="AL68" s="12">
        <f>R68+S68+W68+X68</f>
        <v>19815</v>
      </c>
      <c r="AM68" s="13">
        <f>IF(AL68&gt;0,AF68/AL68,0)</f>
        <v>0.2260913449407015</v>
      </c>
      <c r="AN68" s="13">
        <f>IF(M68&gt;0,(AF68+AG68+AJ68+AK68)/M68,0)</f>
        <v>0.10515489511109535</v>
      </c>
      <c r="AO68">
        <v>3314</v>
      </c>
      <c r="AP68">
        <v>7360</v>
      </c>
      <c r="AQ68">
        <v>0</v>
      </c>
      <c r="AR68">
        <v>0</v>
      </c>
      <c r="AS68">
        <v>98</v>
      </c>
      <c r="AT68">
        <v>92</v>
      </c>
      <c r="AU68">
        <v>14</v>
      </c>
      <c r="AV68">
        <v>5</v>
      </c>
      <c r="AW68">
        <v>13</v>
      </c>
      <c r="AX68">
        <v>18</v>
      </c>
      <c r="AY68">
        <v>265</v>
      </c>
      <c r="AZ68">
        <v>0</v>
      </c>
      <c r="BA68">
        <v>5276</v>
      </c>
      <c r="BB68">
        <v>11</v>
      </c>
      <c r="BC68">
        <v>11</v>
      </c>
      <c r="BD68">
        <v>0</v>
      </c>
      <c r="BE68">
        <v>15</v>
      </c>
      <c r="BF68">
        <v>35</v>
      </c>
    </row>
    <row r="69" spans="1:58">
      <c r="A69" t="s">
        <v>733</v>
      </c>
      <c r="B69">
        <v>32</v>
      </c>
      <c r="C69">
        <v>1</v>
      </c>
      <c r="D69" t="s">
        <v>731</v>
      </c>
      <c r="E69">
        <v>1</v>
      </c>
      <c r="F69" t="s">
        <v>722</v>
      </c>
      <c r="G69">
        <v>114</v>
      </c>
      <c r="H69">
        <v>118</v>
      </c>
      <c r="I69">
        <v>24</v>
      </c>
      <c r="J69">
        <v>21</v>
      </c>
      <c r="K69">
        <v>2</v>
      </c>
      <c r="L69">
        <v>1</v>
      </c>
      <c r="M69">
        <v>81955</v>
      </c>
      <c r="N69">
        <v>5460</v>
      </c>
      <c r="O69" s="12">
        <f>M69-N69</f>
        <v>76495</v>
      </c>
      <c r="P69">
        <v>1503980</v>
      </c>
      <c r="Q69">
        <v>1427485</v>
      </c>
      <c r="R69">
        <v>22971</v>
      </c>
      <c r="S69">
        <v>1920</v>
      </c>
      <c r="T69">
        <v>9980</v>
      </c>
      <c r="U69">
        <v>2640</v>
      </c>
      <c r="V69">
        <v>1420</v>
      </c>
      <c r="W69">
        <v>4400</v>
      </c>
      <c r="X69">
        <v>1190</v>
      </c>
      <c r="Y69">
        <v>0</v>
      </c>
      <c r="Z69">
        <v>1425</v>
      </c>
      <c r="AA69">
        <v>7750</v>
      </c>
      <c r="AB69">
        <v>2688</v>
      </c>
      <c r="AC69">
        <v>25571</v>
      </c>
      <c r="AD69">
        <v>0</v>
      </c>
      <c r="AE69">
        <v>0</v>
      </c>
      <c r="AF69">
        <v>4480</v>
      </c>
      <c r="AG69">
        <v>0</v>
      </c>
      <c r="AH69">
        <v>0</v>
      </c>
      <c r="AI69">
        <v>0</v>
      </c>
      <c r="AJ69">
        <v>980</v>
      </c>
      <c r="AK69">
        <v>0</v>
      </c>
      <c r="AL69" s="12">
        <f>R69+S69+W69+X69</f>
        <v>30481</v>
      </c>
      <c r="AM69" s="13">
        <f>IF(AL69&gt;0,AF69/AL69,0)</f>
        <v>0.14697680522292575</v>
      </c>
      <c r="AN69" s="13">
        <f>IF(M69&gt;0,(AF69+AG69+AJ69+AK69)/M69,0)</f>
        <v>0.0666219266670734</v>
      </c>
      <c r="AO69">
        <v>3274</v>
      </c>
      <c r="AP69">
        <v>7530</v>
      </c>
      <c r="AQ69">
        <v>0</v>
      </c>
      <c r="AR69">
        <v>0</v>
      </c>
      <c r="AS69">
        <v>98</v>
      </c>
      <c r="AT69">
        <v>92</v>
      </c>
      <c r="AU69">
        <v>14</v>
      </c>
      <c r="AV69">
        <v>5</v>
      </c>
      <c r="AW69">
        <v>13</v>
      </c>
      <c r="AX69">
        <v>18</v>
      </c>
      <c r="AY69">
        <v>303</v>
      </c>
      <c r="AZ69">
        <v>0</v>
      </c>
      <c r="BA69">
        <v>5579</v>
      </c>
      <c r="BB69">
        <v>13</v>
      </c>
      <c r="BC69">
        <v>13</v>
      </c>
      <c r="BD69">
        <v>0</v>
      </c>
      <c r="BE69">
        <v>17</v>
      </c>
      <c r="BF69">
        <v>36</v>
      </c>
    </row>
    <row r="70" spans="1:58">
      <c r="A70" t="s">
        <v>733</v>
      </c>
      <c r="B70">
        <v>33</v>
      </c>
      <c r="C70">
        <v>1</v>
      </c>
      <c r="D70" t="s">
        <v>731</v>
      </c>
      <c r="E70">
        <v>1</v>
      </c>
      <c r="F70" t="s">
        <v>722</v>
      </c>
      <c r="G70">
        <v>118</v>
      </c>
      <c r="H70">
        <v>122</v>
      </c>
      <c r="I70">
        <v>24</v>
      </c>
      <c r="J70">
        <v>19</v>
      </c>
      <c r="K70">
        <v>1</v>
      </c>
      <c r="L70">
        <v>4</v>
      </c>
      <c r="M70">
        <v>64422</v>
      </c>
      <c r="N70">
        <v>5460</v>
      </c>
      <c r="O70" s="12">
        <f>M70-N70</f>
        <v>58962</v>
      </c>
      <c r="P70">
        <v>1562942</v>
      </c>
      <c r="Q70">
        <v>1503980</v>
      </c>
      <c r="R70">
        <v>16412</v>
      </c>
      <c r="S70">
        <v>1600</v>
      </c>
      <c r="T70">
        <v>9830</v>
      </c>
      <c r="U70">
        <v>2640</v>
      </c>
      <c r="V70">
        <v>1150</v>
      </c>
      <c r="W70">
        <v>4000</v>
      </c>
      <c r="X70">
        <v>1190</v>
      </c>
      <c r="Y70">
        <v>0</v>
      </c>
      <c r="Z70">
        <v>1200</v>
      </c>
      <c r="AA70">
        <v>4950</v>
      </c>
      <c r="AB70">
        <v>2688</v>
      </c>
      <c r="AC70">
        <v>18762</v>
      </c>
      <c r="AD70">
        <v>0</v>
      </c>
      <c r="AE70">
        <v>0</v>
      </c>
      <c r="AF70">
        <v>4480</v>
      </c>
      <c r="AG70">
        <v>0</v>
      </c>
      <c r="AH70">
        <v>0</v>
      </c>
      <c r="AI70">
        <v>0</v>
      </c>
      <c r="AJ70">
        <v>980</v>
      </c>
      <c r="AK70">
        <v>0</v>
      </c>
      <c r="AL70" s="12">
        <f>R70+S70+W70+X70</f>
        <v>23202</v>
      </c>
      <c r="AM70" s="13">
        <f>IF(AL70&gt;0,AF70/AL70,0)</f>
        <v>0.19308680286182225</v>
      </c>
      <c r="AN70" s="13">
        <f>IF(M70&gt;0,(AF70+AG70+AJ70+AK70)/M70,0)</f>
        <v>0.08475365558349632</v>
      </c>
      <c r="AO70">
        <v>3698</v>
      </c>
      <c r="AP70">
        <v>7440</v>
      </c>
      <c r="AQ70">
        <v>0</v>
      </c>
      <c r="AR70">
        <v>0</v>
      </c>
      <c r="AS70">
        <v>98</v>
      </c>
      <c r="AT70">
        <v>92</v>
      </c>
      <c r="AU70">
        <v>16</v>
      </c>
      <c r="AV70">
        <v>5</v>
      </c>
      <c r="AW70">
        <v>13</v>
      </c>
      <c r="AX70">
        <v>18</v>
      </c>
      <c r="AY70">
        <v>335</v>
      </c>
      <c r="AZ70">
        <v>0</v>
      </c>
      <c r="BA70">
        <v>5914</v>
      </c>
      <c r="BB70">
        <v>9</v>
      </c>
      <c r="BC70">
        <v>10</v>
      </c>
      <c r="BD70">
        <v>2</v>
      </c>
      <c r="BE70">
        <v>12</v>
      </c>
      <c r="BF70">
        <v>36</v>
      </c>
    </row>
    <row r="71" spans="1:58">
      <c r="A71" t="s">
        <v>733</v>
      </c>
      <c r="B71">
        <v>34</v>
      </c>
      <c r="C71">
        <v>1</v>
      </c>
      <c r="D71" t="s">
        <v>731</v>
      </c>
      <c r="E71">
        <v>1</v>
      </c>
      <c r="F71" t="s">
        <v>722</v>
      </c>
      <c r="G71">
        <v>122</v>
      </c>
      <c r="H71">
        <v>126</v>
      </c>
      <c r="I71">
        <v>24</v>
      </c>
      <c r="J71">
        <v>16</v>
      </c>
      <c r="K71">
        <v>6</v>
      </c>
      <c r="L71">
        <v>2</v>
      </c>
      <c r="M71">
        <v>59002</v>
      </c>
      <c r="N71">
        <v>5460</v>
      </c>
      <c r="O71" s="12">
        <f>M71-N71</f>
        <v>53542</v>
      </c>
      <c r="P71">
        <v>1616484</v>
      </c>
      <c r="Q71">
        <v>1562942</v>
      </c>
      <c r="R71">
        <v>15812</v>
      </c>
      <c r="S71">
        <v>1760</v>
      </c>
      <c r="T71">
        <v>7180</v>
      </c>
      <c r="U71">
        <v>2640</v>
      </c>
      <c r="V71">
        <v>1420</v>
      </c>
      <c r="W71">
        <v>2800</v>
      </c>
      <c r="X71">
        <v>1190</v>
      </c>
      <c r="Y71">
        <v>0</v>
      </c>
      <c r="Z71">
        <v>1175</v>
      </c>
      <c r="AA71">
        <v>3725</v>
      </c>
      <c r="AB71">
        <v>2688</v>
      </c>
      <c r="AC71">
        <v>18612</v>
      </c>
      <c r="AD71">
        <v>0</v>
      </c>
      <c r="AE71">
        <v>0</v>
      </c>
      <c r="AF71">
        <v>4480</v>
      </c>
      <c r="AG71">
        <v>0</v>
      </c>
      <c r="AH71">
        <v>0</v>
      </c>
      <c r="AI71">
        <v>0</v>
      </c>
      <c r="AJ71">
        <v>980</v>
      </c>
      <c r="AK71">
        <v>0</v>
      </c>
      <c r="AL71" s="12">
        <f>R71+S71+W71+X71</f>
        <v>21562</v>
      </c>
      <c r="AM71" s="13">
        <f>IF(AL71&gt;0,AF71/AL71,0)</f>
        <v>0.2077729338651331</v>
      </c>
      <c r="AN71" s="13">
        <f>IF(M71&gt;0,(AF71+AG71+AJ71+AK71)/M71,0)</f>
        <v>0.09253923595810312</v>
      </c>
      <c r="AO71">
        <v>3746</v>
      </c>
      <c r="AP71">
        <v>7530</v>
      </c>
      <c r="AQ71">
        <v>0</v>
      </c>
      <c r="AR71">
        <v>0</v>
      </c>
      <c r="AS71">
        <v>98</v>
      </c>
      <c r="AT71">
        <v>92</v>
      </c>
      <c r="AU71">
        <v>16</v>
      </c>
      <c r="AV71">
        <v>5</v>
      </c>
      <c r="AW71">
        <v>13</v>
      </c>
      <c r="AX71">
        <v>18</v>
      </c>
      <c r="AY71">
        <v>224</v>
      </c>
      <c r="AZ71">
        <v>0</v>
      </c>
      <c r="BA71">
        <v>6138</v>
      </c>
      <c r="BB71">
        <v>9</v>
      </c>
      <c r="BC71">
        <v>10</v>
      </c>
      <c r="BD71">
        <v>1</v>
      </c>
      <c r="BE71">
        <v>13</v>
      </c>
      <c r="BF71">
        <v>37</v>
      </c>
    </row>
    <row r="72" spans="1:58">
      <c r="A72" t="s">
        <v>733</v>
      </c>
      <c r="B72">
        <v>35</v>
      </c>
      <c r="C72">
        <v>1</v>
      </c>
      <c r="D72" t="s">
        <v>731</v>
      </c>
      <c r="E72">
        <v>1</v>
      </c>
      <c r="F72" t="s">
        <v>722</v>
      </c>
      <c r="G72">
        <v>126</v>
      </c>
      <c r="H72">
        <v>130</v>
      </c>
      <c r="I72">
        <v>24</v>
      </c>
      <c r="J72">
        <v>17</v>
      </c>
      <c r="K72">
        <v>5</v>
      </c>
      <c r="L72">
        <v>2</v>
      </c>
      <c r="M72">
        <v>63451</v>
      </c>
      <c r="N72">
        <v>6420</v>
      </c>
      <c r="O72" s="12">
        <f>M72-N72</f>
        <v>57031</v>
      </c>
      <c r="P72">
        <v>1673515</v>
      </c>
      <c r="Q72">
        <v>1616484</v>
      </c>
      <c r="R72">
        <v>18074</v>
      </c>
      <c r="S72">
        <v>1600</v>
      </c>
      <c r="T72">
        <v>5480</v>
      </c>
      <c r="U72">
        <v>2640</v>
      </c>
      <c r="V72">
        <v>1420</v>
      </c>
      <c r="W72">
        <v>4000</v>
      </c>
      <c r="X72">
        <v>1190</v>
      </c>
      <c r="Y72">
        <v>0</v>
      </c>
      <c r="Z72">
        <v>1400</v>
      </c>
      <c r="AA72">
        <v>4685</v>
      </c>
      <c r="AB72">
        <v>2688</v>
      </c>
      <c r="AC72">
        <v>20274</v>
      </c>
      <c r="AD72">
        <v>0</v>
      </c>
      <c r="AE72">
        <v>0</v>
      </c>
      <c r="AF72">
        <v>4480</v>
      </c>
      <c r="AG72">
        <v>0</v>
      </c>
      <c r="AH72">
        <v>0</v>
      </c>
      <c r="AI72">
        <v>0</v>
      </c>
      <c r="AJ72">
        <v>1940</v>
      </c>
      <c r="AK72">
        <v>0</v>
      </c>
      <c r="AL72" s="12">
        <f>R72+S72+W72+X72</f>
        <v>24864</v>
      </c>
      <c r="AM72" s="13">
        <f>IF(AL72&gt;0,AF72/AL72,0)</f>
        <v>0.18018018018018017</v>
      </c>
      <c r="AN72" s="13">
        <f>IF(M72&gt;0,(AF72+AG72+AJ72+AK72)/M72,0)</f>
        <v>0.10118043844856661</v>
      </c>
      <c r="AO72">
        <v>3760</v>
      </c>
      <c r="AP72">
        <v>7530</v>
      </c>
      <c r="AQ72">
        <v>0</v>
      </c>
      <c r="AR72">
        <v>0</v>
      </c>
      <c r="AS72">
        <v>97</v>
      </c>
      <c r="AT72">
        <v>92</v>
      </c>
      <c r="AU72">
        <v>16</v>
      </c>
      <c r="AV72">
        <v>5</v>
      </c>
      <c r="AW72">
        <v>13</v>
      </c>
      <c r="AX72">
        <v>18</v>
      </c>
      <c r="AY72">
        <v>215</v>
      </c>
      <c r="AZ72">
        <v>0</v>
      </c>
      <c r="BA72">
        <v>6353</v>
      </c>
      <c r="BB72">
        <v>11</v>
      </c>
      <c r="BC72">
        <v>11</v>
      </c>
      <c r="BD72">
        <v>0</v>
      </c>
      <c r="BE72">
        <v>15</v>
      </c>
      <c r="BF72">
        <v>37</v>
      </c>
    </row>
    <row r="73" spans="1:58">
      <c r="A73" t="s">
        <v>733</v>
      </c>
      <c r="B73">
        <v>36</v>
      </c>
      <c r="C73">
        <v>1</v>
      </c>
      <c r="D73" t="s">
        <v>731</v>
      </c>
      <c r="E73">
        <v>1</v>
      </c>
      <c r="F73" t="s">
        <v>722</v>
      </c>
      <c r="G73">
        <v>130</v>
      </c>
      <c r="H73">
        <v>134</v>
      </c>
      <c r="I73">
        <v>24</v>
      </c>
      <c r="J73">
        <v>20</v>
      </c>
      <c r="K73">
        <v>1</v>
      </c>
      <c r="L73">
        <v>3</v>
      </c>
      <c r="M73">
        <v>71030</v>
      </c>
      <c r="N73">
        <v>5940</v>
      </c>
      <c r="O73" s="12">
        <f>M73-N73</f>
        <v>65090</v>
      </c>
      <c r="P73">
        <v>1738605</v>
      </c>
      <c r="Q73">
        <v>1673515</v>
      </c>
      <c r="R73">
        <v>19436</v>
      </c>
      <c r="S73">
        <v>1760</v>
      </c>
      <c r="T73">
        <v>9830</v>
      </c>
      <c r="U73">
        <v>2640</v>
      </c>
      <c r="V73">
        <v>1420</v>
      </c>
      <c r="W73">
        <v>4400</v>
      </c>
      <c r="X73">
        <v>1190</v>
      </c>
      <c r="Y73">
        <v>0</v>
      </c>
      <c r="Z73">
        <v>1275</v>
      </c>
      <c r="AA73">
        <v>4305</v>
      </c>
      <c r="AB73">
        <v>2688</v>
      </c>
      <c r="AC73">
        <v>22086</v>
      </c>
      <c r="AD73">
        <v>0</v>
      </c>
      <c r="AE73">
        <v>0</v>
      </c>
      <c r="AF73">
        <v>4480</v>
      </c>
      <c r="AG73">
        <v>0</v>
      </c>
      <c r="AH73">
        <v>0</v>
      </c>
      <c r="AI73">
        <v>0</v>
      </c>
      <c r="AJ73">
        <v>1460</v>
      </c>
      <c r="AK73">
        <v>0</v>
      </c>
      <c r="AL73" s="12">
        <f>R73+S73+W73+X73</f>
        <v>26786</v>
      </c>
      <c r="AM73" s="13">
        <f>IF(AL73&gt;0,AF73/AL73,0)</f>
        <v>0.16725154931680727</v>
      </c>
      <c r="AN73" s="13">
        <f>IF(M73&gt;0,(AF73+AG73+AJ73+AK73)/M73,0)</f>
        <v>0.08362663663240884</v>
      </c>
      <c r="AO73">
        <v>3514</v>
      </c>
      <c r="AP73">
        <v>7530</v>
      </c>
      <c r="AQ73">
        <v>0</v>
      </c>
      <c r="AR73">
        <v>0</v>
      </c>
      <c r="AS73">
        <v>97</v>
      </c>
      <c r="AT73">
        <v>92</v>
      </c>
      <c r="AU73">
        <v>15</v>
      </c>
      <c r="AV73">
        <v>5</v>
      </c>
      <c r="AW73">
        <v>13</v>
      </c>
      <c r="AX73">
        <v>18</v>
      </c>
      <c r="AY73">
        <v>287</v>
      </c>
      <c r="AZ73">
        <v>0</v>
      </c>
      <c r="BA73">
        <v>6640</v>
      </c>
      <c r="BB73">
        <v>12</v>
      </c>
      <c r="BC73">
        <v>11</v>
      </c>
      <c r="BD73">
        <v>0</v>
      </c>
      <c r="BE73">
        <v>15</v>
      </c>
      <c r="BF73">
        <v>38</v>
      </c>
    </row>
    <row r="74" spans="1:58">
      <c r="A74" t="s">
        <v>733</v>
      </c>
      <c r="B74">
        <v>37</v>
      </c>
      <c r="C74">
        <v>1</v>
      </c>
      <c r="D74" t="s">
        <v>731</v>
      </c>
      <c r="E74">
        <v>1</v>
      </c>
      <c r="F74" t="s">
        <v>722</v>
      </c>
      <c r="G74">
        <v>134</v>
      </c>
      <c r="H74">
        <v>138</v>
      </c>
      <c r="I74">
        <v>24</v>
      </c>
      <c r="J74">
        <v>18</v>
      </c>
      <c r="K74">
        <v>5</v>
      </c>
      <c r="L74">
        <v>1</v>
      </c>
      <c r="M74">
        <v>66680</v>
      </c>
      <c r="N74">
        <v>4970</v>
      </c>
      <c r="O74" s="12">
        <f>M74-N74</f>
        <v>61710</v>
      </c>
      <c r="P74">
        <v>1800315</v>
      </c>
      <c r="Q74">
        <v>1738605</v>
      </c>
      <c r="R74">
        <v>17471</v>
      </c>
      <c r="S74">
        <v>1920</v>
      </c>
      <c r="T74">
        <v>9830</v>
      </c>
      <c r="U74">
        <v>2640</v>
      </c>
      <c r="V74">
        <v>1420</v>
      </c>
      <c r="W74">
        <v>3600</v>
      </c>
      <c r="X74">
        <v>1190</v>
      </c>
      <c r="Y74">
        <v>0</v>
      </c>
      <c r="Z74">
        <v>1050</v>
      </c>
      <c r="AA74">
        <v>5000</v>
      </c>
      <c r="AB74">
        <v>2688</v>
      </c>
      <c r="AC74">
        <v>19871</v>
      </c>
      <c r="AD74">
        <v>0</v>
      </c>
      <c r="AE74">
        <v>0</v>
      </c>
      <c r="AF74">
        <v>4480</v>
      </c>
      <c r="AG74">
        <v>0</v>
      </c>
      <c r="AH74">
        <v>0</v>
      </c>
      <c r="AI74">
        <v>0</v>
      </c>
      <c r="AJ74">
        <v>490</v>
      </c>
      <c r="AK74">
        <v>0</v>
      </c>
      <c r="AL74" s="12">
        <f>R74+S74+W74+X74</f>
        <v>24181</v>
      </c>
      <c r="AM74" s="13">
        <f>IF(AL74&gt;0,AF74/AL74,0)</f>
        <v>0.18526942640916422</v>
      </c>
      <c r="AN74" s="13">
        <f>IF(M74&gt;0,(AF74+AG74+AJ74+AK74)/M74,0)</f>
        <v>0.07453509298140372</v>
      </c>
      <c r="AO74">
        <v>3955</v>
      </c>
      <c r="AP74">
        <v>7530</v>
      </c>
      <c r="AQ74">
        <v>0</v>
      </c>
      <c r="AR74">
        <v>0</v>
      </c>
      <c r="AS74">
        <v>97</v>
      </c>
      <c r="AT74">
        <v>92</v>
      </c>
      <c r="AU74">
        <v>17</v>
      </c>
      <c r="AV74">
        <v>5</v>
      </c>
      <c r="AW74">
        <v>13</v>
      </c>
      <c r="AX74">
        <v>18</v>
      </c>
      <c r="AY74">
        <v>315</v>
      </c>
      <c r="AZ74">
        <v>0</v>
      </c>
      <c r="BA74">
        <v>6955</v>
      </c>
      <c r="BB74">
        <v>12</v>
      </c>
      <c r="BC74">
        <v>10</v>
      </c>
      <c r="BD74">
        <v>2</v>
      </c>
      <c r="BE74">
        <v>12</v>
      </c>
      <c r="BF74">
        <v>38</v>
      </c>
    </row>
    <row r="75" spans="1:58">
      <c r="A75" t="s">
        <v>733</v>
      </c>
      <c r="B75">
        <v>38</v>
      </c>
      <c r="C75">
        <v>1</v>
      </c>
      <c r="D75" t="s">
        <v>731</v>
      </c>
      <c r="E75">
        <v>1</v>
      </c>
      <c r="F75" t="s">
        <v>722</v>
      </c>
      <c r="G75">
        <v>138</v>
      </c>
      <c r="H75">
        <v>142</v>
      </c>
      <c r="I75">
        <v>24</v>
      </c>
      <c r="J75">
        <v>18</v>
      </c>
      <c r="K75">
        <v>2</v>
      </c>
      <c r="L75">
        <v>4</v>
      </c>
      <c r="M75">
        <v>60079</v>
      </c>
      <c r="N75">
        <v>6400</v>
      </c>
      <c r="O75" s="12">
        <f>M75-N75</f>
        <v>53679</v>
      </c>
      <c r="P75">
        <v>1853994</v>
      </c>
      <c r="Q75">
        <v>1800315</v>
      </c>
      <c r="R75">
        <v>16773</v>
      </c>
      <c r="S75">
        <v>1920</v>
      </c>
      <c r="T75">
        <v>5920</v>
      </c>
      <c r="U75">
        <v>2640</v>
      </c>
      <c r="V75">
        <v>1420</v>
      </c>
      <c r="W75">
        <v>4000</v>
      </c>
      <c r="X75">
        <v>1190</v>
      </c>
      <c r="Y75">
        <v>0</v>
      </c>
      <c r="Z75">
        <v>925</v>
      </c>
      <c r="AA75">
        <v>3330</v>
      </c>
      <c r="AB75">
        <v>2688</v>
      </c>
      <c r="AC75">
        <v>19273</v>
      </c>
      <c r="AD75">
        <v>0</v>
      </c>
      <c r="AE75">
        <v>0</v>
      </c>
      <c r="AF75">
        <v>4480</v>
      </c>
      <c r="AG75">
        <v>0</v>
      </c>
      <c r="AH75">
        <v>0</v>
      </c>
      <c r="AI75">
        <v>0</v>
      </c>
      <c r="AJ75">
        <v>1920</v>
      </c>
      <c r="AK75">
        <v>0</v>
      </c>
      <c r="AL75" s="12">
        <f>R75+S75+W75+X75</f>
        <v>23883</v>
      </c>
      <c r="AM75" s="13">
        <f>IF(AL75&gt;0,AF75/AL75,0)</f>
        <v>0.18758112464933216</v>
      </c>
      <c r="AN75" s="13">
        <f>IF(M75&gt;0,(AF75+AG75+AJ75+AK75)/M75,0)</f>
        <v>0.10652640689758484</v>
      </c>
      <c r="AO75">
        <v>3937</v>
      </c>
      <c r="AP75">
        <v>7530</v>
      </c>
      <c r="AQ75">
        <v>0</v>
      </c>
      <c r="AR75">
        <v>0</v>
      </c>
      <c r="AS75">
        <v>97</v>
      </c>
      <c r="AT75">
        <v>92</v>
      </c>
      <c r="AU75">
        <v>17</v>
      </c>
      <c r="AV75">
        <v>5</v>
      </c>
      <c r="AW75">
        <v>13</v>
      </c>
      <c r="AX75">
        <v>18</v>
      </c>
      <c r="AY75">
        <v>188</v>
      </c>
      <c r="AZ75">
        <v>0</v>
      </c>
      <c r="BA75">
        <v>7143</v>
      </c>
      <c r="BB75">
        <v>7</v>
      </c>
      <c r="BC75">
        <v>9</v>
      </c>
      <c r="BD75">
        <v>1</v>
      </c>
      <c r="BE75">
        <v>12</v>
      </c>
      <c r="BF75">
        <v>38</v>
      </c>
    </row>
    <row r="76" spans="1:58">
      <c r="A76" t="s">
        <v>733</v>
      </c>
      <c r="B76">
        <v>39</v>
      </c>
      <c r="C76">
        <v>1</v>
      </c>
      <c r="D76" t="s">
        <v>731</v>
      </c>
      <c r="E76">
        <v>5</v>
      </c>
      <c r="F76" t="s">
        <v>722</v>
      </c>
      <c r="G76">
        <v>142</v>
      </c>
      <c r="H76">
        <v>146</v>
      </c>
      <c r="I76">
        <v>24</v>
      </c>
      <c r="J76">
        <v>10</v>
      </c>
      <c r="K76">
        <v>11</v>
      </c>
      <c r="L76">
        <v>3</v>
      </c>
      <c r="M76">
        <v>43986</v>
      </c>
      <c r="N76">
        <v>5920</v>
      </c>
      <c r="O76" s="12">
        <f>M76-N76</f>
        <v>38066</v>
      </c>
      <c r="P76">
        <v>1892060</v>
      </c>
      <c r="Q76">
        <v>1853994</v>
      </c>
      <c r="R76">
        <v>9639</v>
      </c>
      <c r="S76">
        <v>1760</v>
      </c>
      <c r="T76">
        <v>8420</v>
      </c>
      <c r="U76">
        <v>210</v>
      </c>
      <c r="V76">
        <v>400</v>
      </c>
      <c r="W76">
        <v>1200</v>
      </c>
      <c r="X76">
        <v>1190</v>
      </c>
      <c r="Y76">
        <v>0</v>
      </c>
      <c r="Z76">
        <v>1225</v>
      </c>
      <c r="AA76">
        <v>5015</v>
      </c>
      <c r="AB76">
        <v>2688</v>
      </c>
      <c r="AC76">
        <v>12239</v>
      </c>
      <c r="AD76">
        <v>0</v>
      </c>
      <c r="AE76">
        <v>0</v>
      </c>
      <c r="AF76">
        <v>4480</v>
      </c>
      <c r="AG76">
        <v>0</v>
      </c>
      <c r="AH76">
        <v>0</v>
      </c>
      <c r="AI76">
        <v>0</v>
      </c>
      <c r="AJ76">
        <v>1440</v>
      </c>
      <c r="AK76">
        <v>0</v>
      </c>
      <c r="AL76" s="12">
        <f>R76+S76+W76+X76</f>
        <v>13789</v>
      </c>
      <c r="AM76" s="13">
        <f>IF(AL76&gt;0,AF76/AL76,0)</f>
        <v>0.3248966567553847</v>
      </c>
      <c r="AN76" s="13">
        <f>IF(M76&gt;0,(AF76+AG76+AJ76+AK76)/M76,0)</f>
        <v>0.1345882780884827</v>
      </c>
      <c r="AO76">
        <v>3651</v>
      </c>
      <c r="AP76">
        <v>7360</v>
      </c>
      <c r="AQ76">
        <v>0</v>
      </c>
      <c r="AR76">
        <v>0</v>
      </c>
      <c r="AS76">
        <v>97</v>
      </c>
      <c r="AT76">
        <v>92</v>
      </c>
      <c r="AU76">
        <v>16</v>
      </c>
      <c r="AV76">
        <v>5</v>
      </c>
      <c r="AW76">
        <v>13</v>
      </c>
      <c r="AX76">
        <v>18</v>
      </c>
      <c r="AY76">
        <v>249</v>
      </c>
      <c r="AZ76">
        <v>0</v>
      </c>
      <c r="BA76">
        <v>7392</v>
      </c>
      <c r="BB76">
        <v>11</v>
      </c>
      <c r="BC76">
        <v>11</v>
      </c>
      <c r="BD76">
        <v>1</v>
      </c>
      <c r="BE76">
        <v>14</v>
      </c>
      <c r="BF76">
        <v>39</v>
      </c>
    </row>
    <row r="77" spans="1:58">
      <c r="A77" t="s">
        <v>733</v>
      </c>
      <c r="B77">
        <v>40</v>
      </c>
      <c r="C77">
        <v>1</v>
      </c>
      <c r="D77" t="s">
        <v>731</v>
      </c>
      <c r="E77">
        <v>2</v>
      </c>
      <c r="F77" t="s">
        <v>722</v>
      </c>
      <c r="G77">
        <v>146</v>
      </c>
      <c r="H77">
        <v>150</v>
      </c>
      <c r="I77">
        <v>24</v>
      </c>
      <c r="J77">
        <v>17</v>
      </c>
      <c r="K77">
        <v>4</v>
      </c>
      <c r="L77">
        <v>3</v>
      </c>
      <c r="M77">
        <v>61442</v>
      </c>
      <c r="N77">
        <v>4970</v>
      </c>
      <c r="O77" s="12">
        <f>M77-N77</f>
        <v>56472</v>
      </c>
      <c r="P77">
        <v>1948532</v>
      </c>
      <c r="Q77">
        <v>1892060</v>
      </c>
      <c r="R77">
        <v>16767</v>
      </c>
      <c r="S77">
        <v>1760</v>
      </c>
      <c r="T77">
        <v>7030</v>
      </c>
      <c r="U77">
        <v>2270</v>
      </c>
      <c r="V77">
        <v>400</v>
      </c>
      <c r="W77">
        <v>3600</v>
      </c>
      <c r="X77">
        <v>1190</v>
      </c>
      <c r="Y77">
        <v>0</v>
      </c>
      <c r="Z77">
        <v>1300</v>
      </c>
      <c r="AA77">
        <v>5320</v>
      </c>
      <c r="AB77">
        <v>2688</v>
      </c>
      <c r="AC77">
        <v>19117</v>
      </c>
      <c r="AD77">
        <v>0</v>
      </c>
      <c r="AE77">
        <v>0</v>
      </c>
      <c r="AF77">
        <v>4480</v>
      </c>
      <c r="AG77">
        <v>0</v>
      </c>
      <c r="AH77">
        <v>0</v>
      </c>
      <c r="AI77">
        <v>0</v>
      </c>
      <c r="AJ77">
        <v>490</v>
      </c>
      <c r="AK77">
        <v>0</v>
      </c>
      <c r="AL77" s="12">
        <f>R77+S77+W77+X77</f>
        <v>23317</v>
      </c>
      <c r="AM77" s="13">
        <f>IF(AL77&gt;0,AF77/AL77,0)</f>
        <v>0.19213449414590214</v>
      </c>
      <c r="AN77" s="13">
        <f>IF(M77&gt;0,(AF77+AG77+AJ77+AK77)/M77,0)</f>
        <v>0.0808892939682953</v>
      </c>
      <c r="AO77">
        <v>3881</v>
      </c>
      <c r="AP77">
        <v>7330</v>
      </c>
      <c r="AQ77">
        <v>0</v>
      </c>
      <c r="AR77">
        <v>0</v>
      </c>
      <c r="AS77">
        <v>97</v>
      </c>
      <c r="AT77">
        <v>92</v>
      </c>
      <c r="AU77">
        <v>17</v>
      </c>
      <c r="AV77">
        <v>5</v>
      </c>
      <c r="AW77">
        <v>13</v>
      </c>
      <c r="AX77">
        <v>18</v>
      </c>
      <c r="AY77">
        <v>223</v>
      </c>
      <c r="AZ77">
        <v>0</v>
      </c>
      <c r="BA77">
        <v>7615</v>
      </c>
      <c r="BB77">
        <v>10</v>
      </c>
      <c r="BC77">
        <v>11</v>
      </c>
      <c r="BD77">
        <v>1</v>
      </c>
      <c r="BE77">
        <v>14</v>
      </c>
      <c r="BF77">
        <v>39</v>
      </c>
    </row>
    <row r="78" spans="1:58">
      <c r="A78" t="s">
        <v>733</v>
      </c>
      <c r="B78">
        <v>41</v>
      </c>
      <c r="C78">
        <v>1</v>
      </c>
      <c r="D78" t="s">
        <v>731</v>
      </c>
      <c r="E78">
        <v>3</v>
      </c>
      <c r="F78" t="s">
        <v>722</v>
      </c>
      <c r="G78">
        <v>150</v>
      </c>
      <c r="H78">
        <v>153</v>
      </c>
      <c r="I78">
        <v>22</v>
      </c>
      <c r="J78">
        <v>14</v>
      </c>
      <c r="K78">
        <v>4</v>
      </c>
      <c r="L78">
        <v>4</v>
      </c>
      <c r="M78">
        <v>43248</v>
      </c>
      <c r="N78">
        <v>5890</v>
      </c>
      <c r="O78" s="12">
        <f>M78-N78</f>
        <v>37358</v>
      </c>
      <c r="P78">
        <v>1985890</v>
      </c>
      <c r="Q78">
        <v>1948532</v>
      </c>
      <c r="R78">
        <v>12796</v>
      </c>
      <c r="S78">
        <v>1600</v>
      </c>
      <c r="T78">
        <v>2380</v>
      </c>
      <c r="U78">
        <v>350</v>
      </c>
      <c r="V78">
        <v>670</v>
      </c>
      <c r="W78">
        <v>2800</v>
      </c>
      <c r="X78">
        <v>1190</v>
      </c>
      <c r="Y78">
        <v>0</v>
      </c>
      <c r="Z78">
        <v>1000</v>
      </c>
      <c r="AA78">
        <v>3625</v>
      </c>
      <c r="AB78">
        <v>2016</v>
      </c>
      <c r="AC78">
        <v>14821</v>
      </c>
      <c r="AD78">
        <v>0</v>
      </c>
      <c r="AE78">
        <v>0</v>
      </c>
      <c r="AF78">
        <v>4480</v>
      </c>
      <c r="AG78">
        <v>0</v>
      </c>
      <c r="AH78">
        <v>0</v>
      </c>
      <c r="AI78">
        <v>0</v>
      </c>
      <c r="AJ78">
        <v>1410</v>
      </c>
      <c r="AK78">
        <v>0</v>
      </c>
      <c r="AL78" s="12">
        <f>R78+S78+W78+X78</f>
        <v>18386</v>
      </c>
      <c r="AM78" s="13">
        <f>IF(AL78&gt;0,AF78/AL78,0)</f>
        <v>0.24366365713042532</v>
      </c>
      <c r="AN78" s="13">
        <f>IF(M78&gt;0,(AF78+AG78+AJ78+AK78)/M78,0)</f>
        <v>0.13619126896041436</v>
      </c>
      <c r="AO78">
        <v>3891</v>
      </c>
      <c r="AP78">
        <v>7390</v>
      </c>
      <c r="AQ78">
        <v>0</v>
      </c>
      <c r="AR78">
        <v>0</v>
      </c>
      <c r="AS78">
        <v>97</v>
      </c>
      <c r="AT78">
        <v>92</v>
      </c>
      <c r="AU78">
        <v>17</v>
      </c>
      <c r="AV78">
        <v>5</v>
      </c>
      <c r="AW78">
        <v>13</v>
      </c>
      <c r="AX78">
        <v>18</v>
      </c>
      <c r="AY78">
        <v>62</v>
      </c>
      <c r="AZ78">
        <v>0</v>
      </c>
      <c r="BA78">
        <v>7677</v>
      </c>
      <c r="BB78">
        <v>12</v>
      </c>
      <c r="BC78">
        <v>9</v>
      </c>
      <c r="BD78">
        <v>1</v>
      </c>
      <c r="BE78">
        <v>11</v>
      </c>
      <c r="BF78">
        <v>39</v>
      </c>
    </row>
    <row r="79" spans="1:58">
      <c r="A79" t="s">
        <v>733</v>
      </c>
      <c r="B79">
        <v>42</v>
      </c>
      <c r="C79">
        <v>1</v>
      </c>
      <c r="D79" t="s">
        <v>731</v>
      </c>
      <c r="E79">
        <v>1</v>
      </c>
      <c r="F79" t="s">
        <v>722</v>
      </c>
      <c r="G79">
        <v>153</v>
      </c>
      <c r="H79">
        <v>157</v>
      </c>
      <c r="I79">
        <v>22</v>
      </c>
      <c r="J79">
        <v>19</v>
      </c>
      <c r="K79">
        <v>2</v>
      </c>
      <c r="L79">
        <v>1</v>
      </c>
      <c r="M79">
        <v>68382</v>
      </c>
      <c r="N79">
        <v>5920</v>
      </c>
      <c r="O79" s="12">
        <f>M79-N79</f>
        <v>62462</v>
      </c>
      <c r="P79">
        <v>2048352</v>
      </c>
      <c r="Q79">
        <v>1985890</v>
      </c>
      <c r="R79">
        <v>20447</v>
      </c>
      <c r="S79">
        <v>1760</v>
      </c>
      <c r="T79">
        <v>5030</v>
      </c>
      <c r="U79">
        <v>2640</v>
      </c>
      <c r="V79">
        <v>1420</v>
      </c>
      <c r="W79">
        <v>4800</v>
      </c>
      <c r="X79">
        <v>1190</v>
      </c>
      <c r="Y79">
        <v>0</v>
      </c>
      <c r="Z79">
        <v>1175</v>
      </c>
      <c r="AA79">
        <v>4435</v>
      </c>
      <c r="AB79">
        <v>2688</v>
      </c>
      <c r="AC79">
        <v>22797</v>
      </c>
      <c r="AD79">
        <v>0</v>
      </c>
      <c r="AE79">
        <v>0</v>
      </c>
      <c r="AF79">
        <v>4480</v>
      </c>
      <c r="AG79">
        <v>0</v>
      </c>
      <c r="AH79">
        <v>0</v>
      </c>
      <c r="AI79">
        <v>0</v>
      </c>
      <c r="AJ79">
        <v>1440</v>
      </c>
      <c r="AK79">
        <v>0</v>
      </c>
      <c r="AL79" s="12">
        <f>R79+S79+W79+X79</f>
        <v>28197</v>
      </c>
      <c r="AM79" s="13">
        <f>IF(AL79&gt;0,AF79/AL79,0)</f>
        <v>0.1588821505833954</v>
      </c>
      <c r="AN79" s="13">
        <f>IF(M79&gt;0,(AF79+AG79+AJ79+AK79)/M79,0)</f>
        <v>0.08657248983650669</v>
      </c>
      <c r="AO79">
        <v>3432</v>
      </c>
      <c r="AP79">
        <v>7530</v>
      </c>
      <c r="AQ79">
        <v>0</v>
      </c>
      <c r="AR79">
        <v>0</v>
      </c>
      <c r="AS79">
        <v>97</v>
      </c>
      <c r="AT79">
        <v>92</v>
      </c>
      <c r="AU79">
        <v>15</v>
      </c>
      <c r="AV79">
        <v>5</v>
      </c>
      <c r="AW79">
        <v>13</v>
      </c>
      <c r="AX79">
        <v>18</v>
      </c>
      <c r="AY79">
        <v>216</v>
      </c>
      <c r="AZ79">
        <v>0</v>
      </c>
      <c r="BA79">
        <v>7893</v>
      </c>
      <c r="BB79">
        <v>8</v>
      </c>
      <c r="BC79">
        <v>9</v>
      </c>
      <c r="BD79">
        <v>0</v>
      </c>
      <c r="BE79">
        <v>13</v>
      </c>
      <c r="BF79">
        <v>40</v>
      </c>
    </row>
    <row r="80" spans="1:58">
      <c r="A80" t="s">
        <v>733</v>
      </c>
      <c r="B80">
        <v>43</v>
      </c>
      <c r="C80">
        <v>1</v>
      </c>
      <c r="D80" t="s">
        <v>731</v>
      </c>
      <c r="E80">
        <v>3</v>
      </c>
      <c r="F80" t="s">
        <v>722</v>
      </c>
      <c r="G80">
        <v>157</v>
      </c>
      <c r="H80">
        <v>161</v>
      </c>
      <c r="I80">
        <v>22</v>
      </c>
      <c r="J80">
        <v>13</v>
      </c>
      <c r="K80">
        <v>3</v>
      </c>
      <c r="L80">
        <v>6</v>
      </c>
      <c r="M80">
        <v>47919</v>
      </c>
      <c r="N80">
        <v>6400</v>
      </c>
      <c r="O80" s="12">
        <f>M80-N80</f>
        <v>41519</v>
      </c>
      <c r="P80">
        <v>2089871</v>
      </c>
      <c r="Q80">
        <v>2048352</v>
      </c>
      <c r="R80">
        <v>12678</v>
      </c>
      <c r="S80">
        <v>1600</v>
      </c>
      <c r="T80">
        <v>6480</v>
      </c>
      <c r="U80">
        <v>350</v>
      </c>
      <c r="V80">
        <v>0</v>
      </c>
      <c r="W80">
        <v>2800</v>
      </c>
      <c r="X80">
        <v>1190</v>
      </c>
      <c r="Y80">
        <v>0</v>
      </c>
      <c r="Z80">
        <v>1075</v>
      </c>
      <c r="AA80">
        <v>3580</v>
      </c>
      <c r="AB80">
        <v>2688</v>
      </c>
      <c r="AC80">
        <v>15478</v>
      </c>
      <c r="AD80">
        <v>0</v>
      </c>
      <c r="AE80">
        <v>0</v>
      </c>
      <c r="AF80">
        <v>4480</v>
      </c>
      <c r="AG80">
        <v>0</v>
      </c>
      <c r="AH80">
        <v>0</v>
      </c>
      <c r="AI80">
        <v>0</v>
      </c>
      <c r="AJ80">
        <v>1920</v>
      </c>
      <c r="AK80">
        <v>0</v>
      </c>
      <c r="AL80" s="12">
        <f>R80+S80+W80+X80</f>
        <v>18268</v>
      </c>
      <c r="AM80" s="13">
        <f>IF(AL80&gt;0,AF80/AL80,0)</f>
        <v>0.24523757389971534</v>
      </c>
      <c r="AN80" s="13">
        <f>IF(M80&gt;0,(AF80+AG80+AJ80+AK80)/M80,0)</f>
        <v>0.13355871366263905</v>
      </c>
      <c r="AO80">
        <v>3543</v>
      </c>
      <c r="AP80">
        <v>7360</v>
      </c>
      <c r="AQ80">
        <v>0</v>
      </c>
      <c r="AR80">
        <v>0</v>
      </c>
      <c r="AS80">
        <v>97</v>
      </c>
      <c r="AT80">
        <v>92</v>
      </c>
      <c r="AU80">
        <v>16</v>
      </c>
      <c r="AV80">
        <v>5</v>
      </c>
      <c r="AW80">
        <v>13</v>
      </c>
      <c r="AX80">
        <v>18</v>
      </c>
      <c r="AY80">
        <v>191</v>
      </c>
      <c r="AZ80">
        <v>0</v>
      </c>
      <c r="BA80">
        <v>8084</v>
      </c>
      <c r="BB80">
        <v>8</v>
      </c>
      <c r="BC80">
        <v>9</v>
      </c>
      <c r="BD80">
        <v>2</v>
      </c>
      <c r="BE80">
        <v>11</v>
      </c>
      <c r="BF80">
        <v>40</v>
      </c>
    </row>
    <row r="81" spans="1:58">
      <c r="A81" t="s">
        <v>733</v>
      </c>
      <c r="B81">
        <v>44</v>
      </c>
      <c r="C81">
        <v>1</v>
      </c>
      <c r="D81" t="s">
        <v>731</v>
      </c>
      <c r="E81">
        <v>1</v>
      </c>
      <c r="F81" t="s">
        <v>722</v>
      </c>
      <c r="G81">
        <v>161</v>
      </c>
      <c r="H81">
        <v>164</v>
      </c>
      <c r="I81">
        <v>22</v>
      </c>
      <c r="J81">
        <v>15</v>
      </c>
      <c r="K81">
        <v>4</v>
      </c>
      <c r="L81">
        <v>3</v>
      </c>
      <c r="M81">
        <v>49760</v>
      </c>
      <c r="N81">
        <v>5420</v>
      </c>
      <c r="O81" s="12">
        <f>M81-N81</f>
        <v>44340</v>
      </c>
      <c r="P81">
        <v>2134211</v>
      </c>
      <c r="Q81">
        <v>2089871</v>
      </c>
      <c r="R81">
        <v>13297</v>
      </c>
      <c r="S81">
        <v>1440</v>
      </c>
      <c r="T81">
        <v>5030</v>
      </c>
      <c r="U81">
        <v>2640</v>
      </c>
      <c r="V81">
        <v>1150</v>
      </c>
      <c r="W81">
        <v>3200</v>
      </c>
      <c r="X81">
        <v>1190</v>
      </c>
      <c r="Y81">
        <v>0</v>
      </c>
      <c r="Z81">
        <v>800</v>
      </c>
      <c r="AA81">
        <v>4125</v>
      </c>
      <c r="AB81">
        <v>2016</v>
      </c>
      <c r="AC81">
        <v>14872</v>
      </c>
      <c r="AD81">
        <v>0</v>
      </c>
      <c r="AE81">
        <v>0</v>
      </c>
      <c r="AF81">
        <v>4480</v>
      </c>
      <c r="AG81">
        <v>0</v>
      </c>
      <c r="AH81">
        <v>0</v>
      </c>
      <c r="AI81">
        <v>0</v>
      </c>
      <c r="AJ81">
        <v>940</v>
      </c>
      <c r="AK81">
        <v>0</v>
      </c>
      <c r="AL81" s="12">
        <f>R81+S81+W81+X81</f>
        <v>19127</v>
      </c>
      <c r="AM81" s="13">
        <f>IF(AL81&gt;0,AF81/AL81,0)</f>
        <v>0.2342238720133842</v>
      </c>
      <c r="AN81" s="13">
        <f>IF(M81&gt;0,(AF81+AG81+AJ81+AK81)/M81,0)</f>
        <v>0.10892282958199356</v>
      </c>
      <c r="AO81">
        <v>3838</v>
      </c>
      <c r="AP81">
        <v>7530</v>
      </c>
      <c r="AQ81">
        <v>0</v>
      </c>
      <c r="AR81">
        <v>0</v>
      </c>
      <c r="AS81">
        <v>97</v>
      </c>
      <c r="AT81">
        <v>92</v>
      </c>
      <c r="AU81">
        <v>17</v>
      </c>
      <c r="AV81">
        <v>5</v>
      </c>
      <c r="AW81">
        <v>13</v>
      </c>
      <c r="AX81">
        <v>18</v>
      </c>
      <c r="AY81">
        <v>181</v>
      </c>
      <c r="AZ81">
        <v>0</v>
      </c>
      <c r="BA81">
        <v>8265</v>
      </c>
      <c r="BB81">
        <v>8</v>
      </c>
      <c r="BC81">
        <v>7</v>
      </c>
      <c r="BD81">
        <v>1</v>
      </c>
      <c r="BE81">
        <v>9</v>
      </c>
      <c r="BF81">
        <v>40</v>
      </c>
    </row>
    <row r="82" spans="1:58">
      <c r="A82" t="s">
        <v>733</v>
      </c>
      <c r="B82">
        <v>45</v>
      </c>
      <c r="C82">
        <v>1</v>
      </c>
      <c r="D82" t="s">
        <v>731</v>
      </c>
      <c r="E82">
        <v>1</v>
      </c>
      <c r="F82" t="s">
        <v>722</v>
      </c>
      <c r="G82">
        <v>164</v>
      </c>
      <c r="H82">
        <v>168</v>
      </c>
      <c r="I82">
        <v>24</v>
      </c>
      <c r="J82">
        <v>17</v>
      </c>
      <c r="K82">
        <v>4</v>
      </c>
      <c r="L82">
        <v>3</v>
      </c>
      <c r="M82">
        <v>60655</v>
      </c>
      <c r="N82">
        <v>6400</v>
      </c>
      <c r="O82" s="12">
        <f>M82-N82</f>
        <v>54255</v>
      </c>
      <c r="P82">
        <v>2188466</v>
      </c>
      <c r="Q82">
        <v>2134211</v>
      </c>
      <c r="R82">
        <v>15266</v>
      </c>
      <c r="S82">
        <v>1760</v>
      </c>
      <c r="T82">
        <v>9980</v>
      </c>
      <c r="U82">
        <v>2640</v>
      </c>
      <c r="V82">
        <v>1150</v>
      </c>
      <c r="W82">
        <v>2800</v>
      </c>
      <c r="X82">
        <v>1190</v>
      </c>
      <c r="Y82">
        <v>0</v>
      </c>
      <c r="Z82">
        <v>1125</v>
      </c>
      <c r="AA82">
        <v>3990</v>
      </c>
      <c r="AB82">
        <v>2688</v>
      </c>
      <c r="AC82">
        <v>18066</v>
      </c>
      <c r="AD82">
        <v>0</v>
      </c>
      <c r="AE82">
        <v>0</v>
      </c>
      <c r="AF82">
        <v>4480</v>
      </c>
      <c r="AG82">
        <v>0</v>
      </c>
      <c r="AH82">
        <v>0</v>
      </c>
      <c r="AI82">
        <v>0</v>
      </c>
      <c r="AJ82">
        <v>1920</v>
      </c>
      <c r="AK82">
        <v>0</v>
      </c>
      <c r="AL82" s="12">
        <f>R82+S82+W82+X82</f>
        <v>21016</v>
      </c>
      <c r="AM82" s="13">
        <f>IF(AL82&gt;0,AF82/AL82,0)</f>
        <v>0.2131709173962695</v>
      </c>
      <c r="AN82" s="13">
        <f>IF(M82&gt;0,(AF82+AG82+AJ82+AK82)/M82,0)</f>
        <v>0.10551479680158272</v>
      </c>
      <c r="AO82">
        <v>3875</v>
      </c>
      <c r="AP82">
        <v>7440</v>
      </c>
      <c r="AQ82">
        <v>0</v>
      </c>
      <c r="AR82">
        <v>0</v>
      </c>
      <c r="AS82">
        <v>97</v>
      </c>
      <c r="AT82">
        <v>92</v>
      </c>
      <c r="AU82">
        <v>17</v>
      </c>
      <c r="AV82">
        <v>5</v>
      </c>
      <c r="AW82">
        <v>13</v>
      </c>
      <c r="AX82">
        <v>18</v>
      </c>
      <c r="AY82">
        <v>299</v>
      </c>
      <c r="AZ82">
        <v>0</v>
      </c>
      <c r="BA82">
        <v>8564</v>
      </c>
      <c r="BB82">
        <v>9</v>
      </c>
      <c r="BC82">
        <v>9</v>
      </c>
      <c r="BD82">
        <v>1</v>
      </c>
      <c r="BE82">
        <v>12</v>
      </c>
      <c r="BF82">
        <v>41</v>
      </c>
    </row>
    <row r="83" spans="1:58">
      <c r="A83" t="s">
        <v>733</v>
      </c>
      <c r="B83">
        <v>46</v>
      </c>
      <c r="C83">
        <v>1</v>
      </c>
      <c r="D83" t="s">
        <v>731</v>
      </c>
      <c r="E83">
        <v>1</v>
      </c>
      <c r="F83" t="s">
        <v>722</v>
      </c>
      <c r="G83">
        <v>168</v>
      </c>
      <c r="H83">
        <v>172</v>
      </c>
      <c r="I83">
        <v>24</v>
      </c>
      <c r="J83">
        <v>18</v>
      </c>
      <c r="K83">
        <v>1</v>
      </c>
      <c r="L83">
        <v>5</v>
      </c>
      <c r="M83">
        <v>59003</v>
      </c>
      <c r="N83">
        <v>6400</v>
      </c>
      <c r="O83" s="12">
        <f>M83-N83</f>
        <v>52603</v>
      </c>
      <c r="P83">
        <v>2241069</v>
      </c>
      <c r="Q83">
        <v>2188466</v>
      </c>
      <c r="R83">
        <v>15670</v>
      </c>
      <c r="S83">
        <v>1920</v>
      </c>
      <c r="T83">
        <v>5780</v>
      </c>
      <c r="U83">
        <v>2640</v>
      </c>
      <c r="V83">
        <v>1420</v>
      </c>
      <c r="W83">
        <v>3600</v>
      </c>
      <c r="X83">
        <v>1190</v>
      </c>
      <c r="Y83">
        <v>0</v>
      </c>
      <c r="Z83">
        <v>1075</v>
      </c>
      <c r="AA83">
        <v>5150</v>
      </c>
      <c r="AB83">
        <v>2688</v>
      </c>
      <c r="AC83">
        <v>17870</v>
      </c>
      <c r="AD83">
        <v>0</v>
      </c>
      <c r="AE83">
        <v>0</v>
      </c>
      <c r="AF83">
        <v>4480</v>
      </c>
      <c r="AG83">
        <v>0</v>
      </c>
      <c r="AH83">
        <v>0</v>
      </c>
      <c r="AI83">
        <v>0</v>
      </c>
      <c r="AJ83">
        <v>1920</v>
      </c>
      <c r="AK83">
        <v>0</v>
      </c>
      <c r="AL83" s="12">
        <f>R83+S83+W83+X83</f>
        <v>22380</v>
      </c>
      <c r="AM83" s="13">
        <f>IF(AL83&gt;0,AF83/AL83,0)</f>
        <v>0.20017873100983022</v>
      </c>
      <c r="AN83" s="13">
        <f>IF(M83&gt;0,(AF83+AG83+AJ83+AK83)/M83,0)</f>
        <v>0.10846906089520872</v>
      </c>
      <c r="AO83">
        <v>3273</v>
      </c>
      <c r="AP83">
        <v>7530</v>
      </c>
      <c r="AQ83">
        <v>0</v>
      </c>
      <c r="AR83">
        <v>0</v>
      </c>
      <c r="AS83">
        <v>97</v>
      </c>
      <c r="AT83">
        <v>92</v>
      </c>
      <c r="AU83">
        <v>14</v>
      </c>
      <c r="AV83">
        <v>5</v>
      </c>
      <c r="AW83">
        <v>13</v>
      </c>
      <c r="AX83">
        <v>18</v>
      </c>
      <c r="AY83">
        <v>195</v>
      </c>
      <c r="AZ83">
        <v>0</v>
      </c>
      <c r="BA83">
        <v>8759</v>
      </c>
      <c r="BB83">
        <v>10</v>
      </c>
      <c r="BC83">
        <v>9</v>
      </c>
      <c r="BD83">
        <v>0</v>
      </c>
      <c r="BE83">
        <v>13</v>
      </c>
      <c r="BF83">
        <v>41</v>
      </c>
    </row>
    <row r="84" spans="1:58">
      <c r="A84" t="s">
        <v>733</v>
      </c>
      <c r="B84">
        <v>47</v>
      </c>
      <c r="C84">
        <v>1</v>
      </c>
      <c r="D84" t="s">
        <v>731</v>
      </c>
      <c r="E84">
        <v>1</v>
      </c>
      <c r="F84" t="s">
        <v>722</v>
      </c>
      <c r="G84">
        <v>172</v>
      </c>
      <c r="H84">
        <v>176</v>
      </c>
      <c r="I84">
        <v>24</v>
      </c>
      <c r="J84">
        <v>16</v>
      </c>
      <c r="K84">
        <v>5</v>
      </c>
      <c r="L84">
        <v>3</v>
      </c>
      <c r="M84">
        <v>56071</v>
      </c>
      <c r="N84">
        <v>5440</v>
      </c>
      <c r="O84" s="12">
        <f>M84-N84</f>
        <v>50631</v>
      </c>
      <c r="P84">
        <v>2291700</v>
      </c>
      <c r="Q84">
        <v>2241069</v>
      </c>
      <c r="R84">
        <v>15069</v>
      </c>
      <c r="S84">
        <v>1440</v>
      </c>
      <c r="T84">
        <v>5480</v>
      </c>
      <c r="U84">
        <v>2640</v>
      </c>
      <c r="V84">
        <v>1420</v>
      </c>
      <c r="W84">
        <v>3600</v>
      </c>
      <c r="X84">
        <v>1190</v>
      </c>
      <c r="Y84">
        <v>0</v>
      </c>
      <c r="Z84">
        <v>925</v>
      </c>
      <c r="AA84">
        <v>3900</v>
      </c>
      <c r="AB84">
        <v>2688</v>
      </c>
      <c r="AC84">
        <v>17719</v>
      </c>
      <c r="AD84">
        <v>0</v>
      </c>
      <c r="AE84">
        <v>0</v>
      </c>
      <c r="AF84">
        <v>4480</v>
      </c>
      <c r="AG84">
        <v>0</v>
      </c>
      <c r="AH84">
        <v>0</v>
      </c>
      <c r="AI84">
        <v>0</v>
      </c>
      <c r="AJ84">
        <v>960</v>
      </c>
      <c r="AK84">
        <v>0</v>
      </c>
      <c r="AL84" s="12">
        <f>R84+S84+W84+X84</f>
        <v>21299</v>
      </c>
      <c r="AM84" s="13">
        <f>IF(AL84&gt;0,AF84/AL84,0)</f>
        <v>0.21033851354523686</v>
      </c>
      <c r="AN84" s="13">
        <f>IF(M84&gt;0,(AF84+AG84+AJ84+AK84)/M84,0)</f>
        <v>0.09701984983324713</v>
      </c>
      <c r="AO84">
        <v>3484</v>
      </c>
      <c r="AP84">
        <v>7530</v>
      </c>
      <c r="AQ84">
        <v>0</v>
      </c>
      <c r="AR84">
        <v>0</v>
      </c>
      <c r="AS84">
        <v>97</v>
      </c>
      <c r="AT84">
        <v>92</v>
      </c>
      <c r="AU84">
        <v>15</v>
      </c>
      <c r="AV84">
        <v>5</v>
      </c>
      <c r="AW84">
        <v>13</v>
      </c>
      <c r="AX84">
        <v>18</v>
      </c>
      <c r="AY84">
        <v>189</v>
      </c>
      <c r="AZ84">
        <v>0</v>
      </c>
      <c r="BA84">
        <v>8948</v>
      </c>
      <c r="BB84">
        <v>7</v>
      </c>
      <c r="BC84">
        <v>8</v>
      </c>
      <c r="BD84">
        <v>1</v>
      </c>
      <c r="BE84">
        <v>11</v>
      </c>
      <c r="BF84">
        <v>41</v>
      </c>
    </row>
    <row r="85" spans="1:58">
      <c r="A85" t="s">
        <v>733</v>
      </c>
      <c r="B85">
        <v>48</v>
      </c>
      <c r="C85">
        <v>1</v>
      </c>
      <c r="D85" t="s">
        <v>731</v>
      </c>
      <c r="E85">
        <v>1</v>
      </c>
      <c r="F85" t="s">
        <v>722</v>
      </c>
      <c r="G85">
        <v>176</v>
      </c>
      <c r="H85">
        <v>180</v>
      </c>
      <c r="I85">
        <v>22</v>
      </c>
      <c r="J85">
        <v>16</v>
      </c>
      <c r="K85">
        <v>4</v>
      </c>
      <c r="L85">
        <v>2</v>
      </c>
      <c r="M85">
        <v>56457</v>
      </c>
      <c r="N85">
        <v>6380</v>
      </c>
      <c r="O85" s="12">
        <f>M85-N85</f>
        <v>50077</v>
      </c>
      <c r="P85">
        <v>2341777</v>
      </c>
      <c r="Q85">
        <v>2291700</v>
      </c>
      <c r="R85">
        <v>14682</v>
      </c>
      <c r="S85">
        <v>1760</v>
      </c>
      <c r="T85">
        <v>6480</v>
      </c>
      <c r="U85">
        <v>2640</v>
      </c>
      <c r="V85">
        <v>750</v>
      </c>
      <c r="W85">
        <v>4000</v>
      </c>
      <c r="X85">
        <v>1190</v>
      </c>
      <c r="Y85">
        <v>0</v>
      </c>
      <c r="Z85">
        <v>975</v>
      </c>
      <c r="AA85">
        <v>4210</v>
      </c>
      <c r="AB85">
        <v>2688</v>
      </c>
      <c r="AC85">
        <v>17082</v>
      </c>
      <c r="AD85">
        <v>0</v>
      </c>
      <c r="AE85">
        <v>0</v>
      </c>
      <c r="AF85">
        <v>4480</v>
      </c>
      <c r="AG85">
        <v>0</v>
      </c>
      <c r="AH85">
        <v>0</v>
      </c>
      <c r="AI85">
        <v>0</v>
      </c>
      <c r="AJ85">
        <v>1900</v>
      </c>
      <c r="AK85">
        <v>0</v>
      </c>
      <c r="AL85" s="12">
        <f>R85+S85+W85+X85</f>
        <v>21632</v>
      </c>
      <c r="AM85" s="13">
        <f>IF(AL85&gt;0,AF85/AL85,0)</f>
        <v>0.20710059171597633</v>
      </c>
      <c r="AN85" s="13">
        <f>IF(M85&gt;0,(AF85+AG85+AJ85+AK85)/M85,0)</f>
        <v>0.11300635882175815</v>
      </c>
      <c r="AO85">
        <v>3479</v>
      </c>
      <c r="AP85">
        <v>7530</v>
      </c>
      <c r="AQ85">
        <v>0</v>
      </c>
      <c r="AR85">
        <v>0</v>
      </c>
      <c r="AS85">
        <v>97</v>
      </c>
      <c r="AT85">
        <v>92</v>
      </c>
      <c r="AU85">
        <v>15</v>
      </c>
      <c r="AV85">
        <v>5</v>
      </c>
      <c r="AW85">
        <v>13</v>
      </c>
      <c r="AX85">
        <v>18</v>
      </c>
      <c r="AY85">
        <v>234</v>
      </c>
      <c r="AZ85">
        <v>0</v>
      </c>
      <c r="BA85">
        <v>9182</v>
      </c>
      <c r="BB85">
        <v>8</v>
      </c>
      <c r="BC85">
        <v>8</v>
      </c>
      <c r="BD85">
        <v>0</v>
      </c>
      <c r="BE85">
        <v>12</v>
      </c>
      <c r="BF85">
        <v>42</v>
      </c>
    </row>
    <row r="86" spans="1:58">
      <c r="A86" t="s">
        <v>734</v>
      </c>
      <c r="B86">
        <v>1</v>
      </c>
      <c r="C86">
        <v>8</v>
      </c>
      <c r="D86" t="s">
        <v>721</v>
      </c>
      <c r="E86">
        <v>2</v>
      </c>
      <c r="F86" t="s">
        <v>723</v>
      </c>
      <c r="G86">
        <v>1</v>
      </c>
      <c r="H86">
        <v>6</v>
      </c>
      <c r="I86">
        <v>15</v>
      </c>
      <c r="J86">
        <v>10</v>
      </c>
      <c r="K86">
        <v>1</v>
      </c>
      <c r="L86">
        <v>4</v>
      </c>
      <c r="M86">
        <v>21741</v>
      </c>
      <c r="N86">
        <v>16922</v>
      </c>
      <c r="O86" s="12">
        <f>M86-N86</f>
        <v>4819</v>
      </c>
      <c r="P86">
        <v>5319</v>
      </c>
      <c r="Q86">
        <v>279</v>
      </c>
      <c r="R86">
        <v>2514</v>
      </c>
      <c r="S86">
        <v>0</v>
      </c>
      <c r="T86">
        <v>0</v>
      </c>
      <c r="U86">
        <v>720</v>
      </c>
      <c r="V86">
        <v>320</v>
      </c>
      <c r="W86">
        <v>260</v>
      </c>
      <c r="X86">
        <v>390</v>
      </c>
      <c r="Y86">
        <v>1540</v>
      </c>
      <c r="Z86">
        <v>550</v>
      </c>
      <c r="AA86">
        <v>8365</v>
      </c>
      <c r="AB86">
        <v>968</v>
      </c>
      <c r="AC86">
        <v>6114</v>
      </c>
      <c r="AD86">
        <v>11400</v>
      </c>
      <c r="AE86">
        <v>4200</v>
      </c>
      <c r="AF86">
        <v>932</v>
      </c>
      <c r="AG86">
        <v>0</v>
      </c>
      <c r="AH86">
        <v>0</v>
      </c>
      <c r="AI86">
        <v>0</v>
      </c>
      <c r="AJ86">
        <v>390</v>
      </c>
      <c r="AK86">
        <v>0</v>
      </c>
      <c r="AL86" s="12">
        <f>R86+S86+W86+X86</f>
        <v>3164</v>
      </c>
      <c r="AM86" s="13">
        <f>IF(AL86&gt;0,AF86/AL86,0)</f>
        <v>0.2945638432364096</v>
      </c>
      <c r="AN86" s="13">
        <f>IF(M86&gt;0,(AF86+AG86+AJ86+AK86)/M86,0)</f>
        <v>0.06080677061772687</v>
      </c>
      <c r="AO86">
        <v>978</v>
      </c>
      <c r="AP86">
        <v>1000</v>
      </c>
      <c r="AQ86">
        <v>0</v>
      </c>
      <c r="AR86">
        <v>0</v>
      </c>
      <c r="AS86">
        <v>46</v>
      </c>
      <c r="AT86">
        <v>39</v>
      </c>
      <c r="AU86">
        <v>20</v>
      </c>
      <c r="AV86">
        <v>2</v>
      </c>
      <c r="AW86">
        <v>7</v>
      </c>
      <c r="AX86">
        <v>8</v>
      </c>
      <c r="AY86">
        <v>227</v>
      </c>
      <c r="AZ86">
        <v>200</v>
      </c>
      <c r="BA86">
        <v>77</v>
      </c>
      <c r="BB86">
        <v>13</v>
      </c>
      <c r="BC86">
        <v>15</v>
      </c>
      <c r="BD86">
        <v>13</v>
      </c>
      <c r="BE86">
        <v>7</v>
      </c>
      <c r="BF86">
        <v>8</v>
      </c>
    </row>
    <row r="87" spans="1:58">
      <c r="A87" t="s">
        <v>734</v>
      </c>
      <c r="B87">
        <v>2</v>
      </c>
      <c r="C87">
        <v>7</v>
      </c>
      <c r="D87" t="s">
        <v>724</v>
      </c>
      <c r="E87">
        <v>1</v>
      </c>
      <c r="F87" t="s">
        <v>723</v>
      </c>
      <c r="G87">
        <v>6</v>
      </c>
      <c r="H87">
        <v>11</v>
      </c>
      <c r="I87">
        <v>17</v>
      </c>
      <c r="J87">
        <v>14</v>
      </c>
      <c r="K87">
        <v>1</v>
      </c>
      <c r="L87">
        <v>2</v>
      </c>
      <c r="M87">
        <v>30852</v>
      </c>
      <c r="N87">
        <v>28968</v>
      </c>
      <c r="O87" s="12">
        <f>M87-N87</f>
        <v>1884</v>
      </c>
      <c r="P87">
        <v>7203</v>
      </c>
      <c r="Q87">
        <v>394</v>
      </c>
      <c r="R87">
        <v>4487</v>
      </c>
      <c r="S87">
        <v>480</v>
      </c>
      <c r="T87">
        <v>595</v>
      </c>
      <c r="U87">
        <v>1040</v>
      </c>
      <c r="V87">
        <v>450</v>
      </c>
      <c r="W87">
        <v>620</v>
      </c>
      <c r="X87">
        <v>630</v>
      </c>
      <c r="Y87">
        <v>2390</v>
      </c>
      <c r="Z87">
        <v>75</v>
      </c>
      <c r="AA87">
        <v>11255</v>
      </c>
      <c r="AB87">
        <v>1368</v>
      </c>
      <c r="AC87">
        <v>7462</v>
      </c>
      <c r="AD87">
        <v>24200</v>
      </c>
      <c r="AE87">
        <v>2400</v>
      </c>
      <c r="AF87">
        <v>1758</v>
      </c>
      <c r="AG87">
        <v>0</v>
      </c>
      <c r="AH87">
        <v>0</v>
      </c>
      <c r="AI87">
        <v>0</v>
      </c>
      <c r="AJ87">
        <v>610</v>
      </c>
      <c r="AK87">
        <v>0</v>
      </c>
      <c r="AL87" s="12">
        <f>R87+S87+W87+X87</f>
        <v>6217</v>
      </c>
      <c r="AM87" s="13">
        <f>IF(AL87&gt;0,AF87/AL87,0)</f>
        <v>0.2827730416599646</v>
      </c>
      <c r="AN87" s="13">
        <f>IF(M87&gt;0,(AF87+AG87+AJ87+AK87)/M87,0)</f>
        <v>0.07675353299624012</v>
      </c>
      <c r="AO87">
        <v>1350</v>
      </c>
      <c r="AP87">
        <v>1450</v>
      </c>
      <c r="AQ87">
        <v>0</v>
      </c>
      <c r="AR87">
        <v>0</v>
      </c>
      <c r="AS87">
        <v>54</v>
      </c>
      <c r="AT87">
        <v>43</v>
      </c>
      <c r="AU87">
        <v>20</v>
      </c>
      <c r="AV87">
        <v>5</v>
      </c>
      <c r="AW87">
        <v>13</v>
      </c>
      <c r="AX87">
        <v>10</v>
      </c>
      <c r="AY87">
        <v>287</v>
      </c>
      <c r="AZ87">
        <v>0</v>
      </c>
      <c r="BA87">
        <v>364</v>
      </c>
      <c r="BB87">
        <v>9</v>
      </c>
      <c r="BC87">
        <v>7</v>
      </c>
      <c r="BD87">
        <v>11</v>
      </c>
      <c r="BE87">
        <v>1</v>
      </c>
      <c r="BF87">
        <v>11</v>
      </c>
    </row>
    <row r="88" spans="1:58">
      <c r="A88" t="s">
        <v>734</v>
      </c>
      <c r="B88">
        <v>3</v>
      </c>
      <c r="C88">
        <v>6</v>
      </c>
      <c r="D88" t="s">
        <v>725</v>
      </c>
      <c r="E88">
        <v>1</v>
      </c>
      <c r="F88" t="s">
        <v>723</v>
      </c>
      <c r="G88">
        <v>11</v>
      </c>
      <c r="H88">
        <v>17</v>
      </c>
      <c r="I88">
        <v>17</v>
      </c>
      <c r="J88">
        <v>16</v>
      </c>
      <c r="K88">
        <v>1</v>
      </c>
      <c r="L88">
        <v>0</v>
      </c>
      <c r="M88">
        <v>39754</v>
      </c>
      <c r="N88">
        <v>4494</v>
      </c>
      <c r="O88" s="12">
        <f>M88-N88</f>
        <v>35260</v>
      </c>
      <c r="P88">
        <v>42463</v>
      </c>
      <c r="Q88">
        <v>7203</v>
      </c>
      <c r="R88">
        <v>7385</v>
      </c>
      <c r="S88">
        <v>480</v>
      </c>
      <c r="T88">
        <v>680</v>
      </c>
      <c r="U88">
        <v>1040</v>
      </c>
      <c r="V88">
        <v>645</v>
      </c>
      <c r="W88">
        <v>940</v>
      </c>
      <c r="X88">
        <v>630</v>
      </c>
      <c r="Y88">
        <v>4305</v>
      </c>
      <c r="Z88">
        <v>225</v>
      </c>
      <c r="AA88">
        <v>10465</v>
      </c>
      <c r="AB88">
        <v>1824</v>
      </c>
      <c r="AC88">
        <v>11135</v>
      </c>
      <c r="AD88">
        <v>0</v>
      </c>
      <c r="AE88">
        <v>1500</v>
      </c>
      <c r="AF88">
        <v>2064</v>
      </c>
      <c r="AG88">
        <v>0</v>
      </c>
      <c r="AH88">
        <v>0</v>
      </c>
      <c r="AI88">
        <v>0</v>
      </c>
      <c r="AJ88">
        <v>930</v>
      </c>
      <c r="AK88">
        <v>0</v>
      </c>
      <c r="AL88" s="12">
        <f>R88+S88+W88+X88</f>
        <v>9435</v>
      </c>
      <c r="AM88" s="13">
        <f>IF(AL88&gt;0,AF88/AL88,0)</f>
        <v>0.21875993640699523</v>
      </c>
      <c r="AN88" s="13">
        <f>IF(M88&gt;0,(AF88+AG88+AJ88+AK88)/M88,0)</f>
        <v>0.07531317603260049</v>
      </c>
      <c r="AO88">
        <v>1692</v>
      </c>
      <c r="AP88">
        <v>1750</v>
      </c>
      <c r="AQ88">
        <v>0</v>
      </c>
      <c r="AR88">
        <v>0</v>
      </c>
      <c r="AS88">
        <v>63</v>
      </c>
      <c r="AT88">
        <v>47</v>
      </c>
      <c r="AU88">
        <v>18</v>
      </c>
      <c r="AV88">
        <v>5</v>
      </c>
      <c r="AW88">
        <v>13</v>
      </c>
      <c r="AX88">
        <v>11</v>
      </c>
      <c r="AY88">
        <v>245</v>
      </c>
      <c r="AZ88">
        <v>0</v>
      </c>
      <c r="BA88">
        <v>609</v>
      </c>
      <c r="BB88">
        <v>12</v>
      </c>
      <c r="BC88">
        <v>12</v>
      </c>
      <c r="BD88">
        <v>15</v>
      </c>
      <c r="BE88">
        <v>3</v>
      </c>
      <c r="BF88">
        <v>13</v>
      </c>
    </row>
    <row r="89" spans="1:58">
      <c r="A89" t="s">
        <v>734</v>
      </c>
      <c r="B89">
        <v>4</v>
      </c>
      <c r="C89">
        <v>5</v>
      </c>
      <c r="D89" t="s">
        <v>726</v>
      </c>
      <c r="E89">
        <v>1</v>
      </c>
      <c r="F89" t="s">
        <v>723</v>
      </c>
      <c r="G89">
        <v>17</v>
      </c>
      <c r="H89">
        <v>23</v>
      </c>
      <c r="I89">
        <v>17</v>
      </c>
      <c r="J89">
        <v>14</v>
      </c>
      <c r="K89">
        <v>1</v>
      </c>
      <c r="L89">
        <v>2</v>
      </c>
      <c r="M89">
        <v>49245</v>
      </c>
      <c r="N89">
        <v>8788</v>
      </c>
      <c r="O89" s="12">
        <f>M89-N89</f>
        <v>40457</v>
      </c>
      <c r="P89">
        <v>82920</v>
      </c>
      <c r="Q89">
        <v>39991</v>
      </c>
      <c r="R89">
        <v>7772</v>
      </c>
      <c r="S89">
        <v>640</v>
      </c>
      <c r="T89">
        <v>850</v>
      </c>
      <c r="U89">
        <v>1360</v>
      </c>
      <c r="V89">
        <v>825</v>
      </c>
      <c r="W89">
        <v>1340</v>
      </c>
      <c r="X89">
        <v>1110</v>
      </c>
      <c r="Y89">
        <v>3670</v>
      </c>
      <c r="Z89">
        <v>475</v>
      </c>
      <c r="AA89">
        <v>17615</v>
      </c>
      <c r="AB89">
        <v>2016</v>
      </c>
      <c r="AC89">
        <v>11572</v>
      </c>
      <c r="AD89">
        <v>0</v>
      </c>
      <c r="AE89">
        <v>5000</v>
      </c>
      <c r="AF89">
        <v>2698</v>
      </c>
      <c r="AG89">
        <v>0</v>
      </c>
      <c r="AH89">
        <v>0</v>
      </c>
      <c r="AI89">
        <v>0</v>
      </c>
      <c r="AJ89">
        <v>1090</v>
      </c>
      <c r="AK89">
        <v>0</v>
      </c>
      <c r="AL89" s="12">
        <f>R89+S89+W89+X89</f>
        <v>10862</v>
      </c>
      <c r="AM89" s="13">
        <f>IF(AL89&gt;0,AF89/AL89,0)</f>
        <v>0.24838887865954704</v>
      </c>
      <c r="AN89" s="13">
        <f>IF(M89&gt;0,(AF89+AG89+AJ89+AK89)/M89,0)</f>
        <v>0.07692151487460656</v>
      </c>
      <c r="AO89">
        <v>2428</v>
      </c>
      <c r="AP89">
        <v>2480</v>
      </c>
      <c r="AQ89">
        <v>0</v>
      </c>
      <c r="AR89">
        <v>0</v>
      </c>
      <c r="AS89">
        <v>70</v>
      </c>
      <c r="AT89">
        <v>56</v>
      </c>
      <c r="AU89">
        <v>21</v>
      </c>
      <c r="AV89">
        <v>5</v>
      </c>
      <c r="AW89">
        <v>13</v>
      </c>
      <c r="AX89">
        <v>13</v>
      </c>
      <c r="AY89">
        <v>395</v>
      </c>
      <c r="AZ89">
        <v>600</v>
      </c>
      <c r="BA89">
        <v>404</v>
      </c>
      <c r="BB89">
        <v>11</v>
      </c>
      <c r="BC89">
        <v>13</v>
      </c>
      <c r="BD89">
        <v>13</v>
      </c>
      <c r="BE89">
        <v>6</v>
      </c>
      <c r="BF89">
        <v>15</v>
      </c>
    </row>
    <row r="90" spans="1:58">
      <c r="A90" t="s">
        <v>734</v>
      </c>
      <c r="B90">
        <v>5</v>
      </c>
      <c r="C90">
        <v>4</v>
      </c>
      <c r="D90" t="s">
        <v>727</v>
      </c>
      <c r="E90">
        <v>1</v>
      </c>
      <c r="F90" t="s">
        <v>723</v>
      </c>
      <c r="G90">
        <v>23</v>
      </c>
      <c r="H90">
        <v>28</v>
      </c>
      <c r="I90">
        <v>17</v>
      </c>
      <c r="J90">
        <v>11</v>
      </c>
      <c r="K90">
        <v>4</v>
      </c>
      <c r="L90">
        <v>2</v>
      </c>
      <c r="M90">
        <v>39706</v>
      </c>
      <c r="N90">
        <v>7324</v>
      </c>
      <c r="O90" s="12">
        <f>M90-N90</f>
        <v>32382</v>
      </c>
      <c r="P90">
        <v>115302</v>
      </c>
      <c r="Q90">
        <v>80381</v>
      </c>
      <c r="R90">
        <v>6883</v>
      </c>
      <c r="S90">
        <v>800</v>
      </c>
      <c r="T90">
        <v>1020</v>
      </c>
      <c r="U90">
        <v>1680</v>
      </c>
      <c r="V90">
        <v>825</v>
      </c>
      <c r="W90">
        <v>1640</v>
      </c>
      <c r="X90">
        <v>1190</v>
      </c>
      <c r="Y90">
        <v>4650</v>
      </c>
      <c r="Z90">
        <v>75</v>
      </c>
      <c r="AA90">
        <v>9005</v>
      </c>
      <c r="AB90">
        <v>1680</v>
      </c>
      <c r="AC90">
        <v>10258</v>
      </c>
      <c r="AD90">
        <v>0</v>
      </c>
      <c r="AE90">
        <v>3000</v>
      </c>
      <c r="AF90">
        <v>3134</v>
      </c>
      <c r="AG90">
        <v>0</v>
      </c>
      <c r="AH90">
        <v>0</v>
      </c>
      <c r="AI90">
        <v>0</v>
      </c>
      <c r="AJ90">
        <v>1190</v>
      </c>
      <c r="AK90">
        <v>0</v>
      </c>
      <c r="AL90" s="12">
        <f>R90+S90+W90+X90</f>
        <v>10513</v>
      </c>
      <c r="AM90" s="13">
        <f>IF(AL90&gt;0,AF90/AL90,0)</f>
        <v>0.2981071054884429</v>
      </c>
      <c r="AN90" s="13">
        <f>IF(M90&gt;0,(AF90+AG90+AJ90+AK90)/M90,0)</f>
        <v>0.10890041807283533</v>
      </c>
      <c r="AO90">
        <v>3283</v>
      </c>
      <c r="AP90">
        <v>3310</v>
      </c>
      <c r="AQ90">
        <v>0</v>
      </c>
      <c r="AR90">
        <v>0</v>
      </c>
      <c r="AS90">
        <v>83</v>
      </c>
      <c r="AT90">
        <v>65</v>
      </c>
      <c r="AU90">
        <v>21</v>
      </c>
      <c r="AV90">
        <v>5</v>
      </c>
      <c r="AW90">
        <v>13</v>
      </c>
      <c r="AX90">
        <v>14</v>
      </c>
      <c r="AY90">
        <v>197</v>
      </c>
      <c r="AZ90">
        <v>500</v>
      </c>
      <c r="BA90">
        <v>101</v>
      </c>
      <c r="BB90">
        <v>11</v>
      </c>
      <c r="BC90">
        <v>9</v>
      </c>
      <c r="BD90">
        <v>13</v>
      </c>
      <c r="BE90">
        <v>1</v>
      </c>
      <c r="BF90">
        <v>16</v>
      </c>
    </row>
    <row r="91" spans="1:58">
      <c r="A91" t="s">
        <v>734</v>
      </c>
      <c r="B91">
        <v>6</v>
      </c>
      <c r="C91">
        <v>3</v>
      </c>
      <c r="D91" t="s">
        <v>728</v>
      </c>
      <c r="E91">
        <v>1</v>
      </c>
      <c r="F91" t="s">
        <v>723</v>
      </c>
      <c r="G91">
        <v>28</v>
      </c>
      <c r="H91">
        <v>34</v>
      </c>
      <c r="I91">
        <v>17</v>
      </c>
      <c r="J91">
        <v>11</v>
      </c>
      <c r="K91">
        <v>3</v>
      </c>
      <c r="L91">
        <v>3</v>
      </c>
      <c r="M91">
        <v>43720</v>
      </c>
      <c r="N91">
        <v>11328</v>
      </c>
      <c r="O91" s="12">
        <f>M91-N91</f>
        <v>32392</v>
      </c>
      <c r="P91">
        <v>147694</v>
      </c>
      <c r="Q91">
        <v>113966</v>
      </c>
      <c r="R91">
        <v>8517</v>
      </c>
      <c r="S91">
        <v>1080</v>
      </c>
      <c r="T91">
        <v>210</v>
      </c>
      <c r="U91">
        <v>2000</v>
      </c>
      <c r="V91">
        <v>780</v>
      </c>
      <c r="W91">
        <v>1920</v>
      </c>
      <c r="X91">
        <v>1190</v>
      </c>
      <c r="Y91">
        <v>4050</v>
      </c>
      <c r="Z91">
        <v>300</v>
      </c>
      <c r="AA91">
        <v>9540</v>
      </c>
      <c r="AB91">
        <v>2016</v>
      </c>
      <c r="AC91">
        <v>12117</v>
      </c>
      <c r="AD91">
        <v>0</v>
      </c>
      <c r="AE91">
        <v>5700</v>
      </c>
      <c r="AF91">
        <v>3868</v>
      </c>
      <c r="AG91">
        <v>0</v>
      </c>
      <c r="AH91">
        <v>0</v>
      </c>
      <c r="AI91">
        <v>0</v>
      </c>
      <c r="AJ91">
        <v>1760</v>
      </c>
      <c r="AK91">
        <v>0</v>
      </c>
      <c r="AL91" s="12">
        <f>R91+S91+W91+X91</f>
        <v>12707</v>
      </c>
      <c r="AM91" s="13">
        <f>IF(AL91&gt;0,AF91/AL91,0)</f>
        <v>0.3043991500747619</v>
      </c>
      <c r="AN91" s="13">
        <f>IF(M91&gt;0,(AF91+AG91+AJ91+AK91)/M91,0)</f>
        <v>0.12872827081427266</v>
      </c>
      <c r="AO91">
        <v>4316</v>
      </c>
      <c r="AP91">
        <v>4440</v>
      </c>
      <c r="AQ91">
        <v>0</v>
      </c>
      <c r="AR91">
        <v>0</v>
      </c>
      <c r="AS91">
        <v>91</v>
      </c>
      <c r="AT91">
        <v>74</v>
      </c>
      <c r="AU91">
        <v>23</v>
      </c>
      <c r="AV91">
        <v>5</v>
      </c>
      <c r="AW91">
        <v>13</v>
      </c>
      <c r="AX91">
        <v>16</v>
      </c>
      <c r="AY91">
        <v>163</v>
      </c>
      <c r="AZ91">
        <v>0</v>
      </c>
      <c r="BA91">
        <v>264</v>
      </c>
      <c r="BB91">
        <v>8</v>
      </c>
      <c r="BC91">
        <v>8</v>
      </c>
      <c r="BD91">
        <v>10</v>
      </c>
      <c r="BE91">
        <v>4</v>
      </c>
      <c r="BF91">
        <v>17</v>
      </c>
    </row>
    <row r="92" spans="1:58">
      <c r="A92" t="s">
        <v>734</v>
      </c>
      <c r="B92">
        <v>7</v>
      </c>
      <c r="C92">
        <v>2</v>
      </c>
      <c r="D92" t="s">
        <v>730</v>
      </c>
      <c r="E92">
        <v>2</v>
      </c>
      <c r="F92" t="s">
        <v>723</v>
      </c>
      <c r="G92">
        <v>34</v>
      </c>
      <c r="H92">
        <v>40</v>
      </c>
      <c r="I92">
        <v>17</v>
      </c>
      <c r="J92">
        <v>11</v>
      </c>
      <c r="K92">
        <v>4</v>
      </c>
      <c r="L92">
        <v>2</v>
      </c>
      <c r="M92">
        <v>52410</v>
      </c>
      <c r="N92">
        <v>9358</v>
      </c>
      <c r="O92" s="12">
        <f>M92-N92</f>
        <v>43052</v>
      </c>
      <c r="P92">
        <v>190746</v>
      </c>
      <c r="Q92">
        <v>147198</v>
      </c>
      <c r="R92">
        <v>9427</v>
      </c>
      <c r="S92">
        <v>980</v>
      </c>
      <c r="T92">
        <v>1360</v>
      </c>
      <c r="U92">
        <v>1960</v>
      </c>
      <c r="V92">
        <v>705</v>
      </c>
      <c r="W92">
        <v>2200</v>
      </c>
      <c r="X92">
        <v>1190</v>
      </c>
      <c r="Y92">
        <v>6555</v>
      </c>
      <c r="Z92">
        <v>525</v>
      </c>
      <c r="AA92">
        <v>12415</v>
      </c>
      <c r="AB92">
        <v>2016</v>
      </c>
      <c r="AC92">
        <v>13077</v>
      </c>
      <c r="AD92">
        <v>0</v>
      </c>
      <c r="AE92">
        <v>3100</v>
      </c>
      <c r="AF92">
        <v>4418</v>
      </c>
      <c r="AG92">
        <v>0</v>
      </c>
      <c r="AH92">
        <v>0</v>
      </c>
      <c r="AI92">
        <v>0</v>
      </c>
      <c r="AJ92">
        <v>1840</v>
      </c>
      <c r="AK92">
        <v>0</v>
      </c>
      <c r="AL92" s="12">
        <f>R92+S92+W92+X92</f>
        <v>13797</v>
      </c>
      <c r="AM92" s="13">
        <f>IF(AL92&gt;0,AF92/AL92,0)</f>
        <v>0.32021453939262157</v>
      </c>
      <c r="AN92" s="13">
        <f>IF(M92&gt;0,(AF92+AG92+AJ92+AK92)/M92,0)</f>
        <v>0.11940469376073269</v>
      </c>
      <c r="AO92">
        <v>4957</v>
      </c>
      <c r="AP92">
        <v>5520</v>
      </c>
      <c r="AQ92">
        <v>0</v>
      </c>
      <c r="AR92">
        <v>0</v>
      </c>
      <c r="AS92">
        <v>95</v>
      </c>
      <c r="AT92">
        <v>84</v>
      </c>
      <c r="AU92">
        <v>23</v>
      </c>
      <c r="AV92">
        <v>5</v>
      </c>
      <c r="AW92">
        <v>13</v>
      </c>
      <c r="AX92">
        <v>18</v>
      </c>
      <c r="AY92">
        <v>201</v>
      </c>
      <c r="AZ92">
        <v>0</v>
      </c>
      <c r="BA92">
        <v>465</v>
      </c>
      <c r="BB92">
        <v>11</v>
      </c>
      <c r="BC92">
        <v>12</v>
      </c>
      <c r="BD92">
        <v>11</v>
      </c>
      <c r="BE92">
        <v>7</v>
      </c>
      <c r="BF92">
        <v>18</v>
      </c>
    </row>
    <row r="93" spans="1:58">
      <c r="A93" t="s">
        <v>734</v>
      </c>
      <c r="B93">
        <v>8</v>
      </c>
      <c r="C93">
        <v>1</v>
      </c>
      <c r="D93" t="s">
        <v>731</v>
      </c>
      <c r="E93">
        <v>5</v>
      </c>
      <c r="F93" t="s">
        <v>722</v>
      </c>
      <c r="G93">
        <v>40</v>
      </c>
      <c r="H93">
        <v>46</v>
      </c>
      <c r="I93">
        <v>20</v>
      </c>
      <c r="J93">
        <v>7</v>
      </c>
      <c r="K93">
        <v>8</v>
      </c>
      <c r="L93">
        <v>5</v>
      </c>
      <c r="M93">
        <v>40144</v>
      </c>
      <c r="N93">
        <v>6360</v>
      </c>
      <c r="O93" s="12">
        <f>M93-N93</f>
        <v>33784</v>
      </c>
      <c r="P93">
        <v>224530</v>
      </c>
      <c r="Q93">
        <v>190746</v>
      </c>
      <c r="R93">
        <v>7134</v>
      </c>
      <c r="S93">
        <v>1280</v>
      </c>
      <c r="T93">
        <v>1530</v>
      </c>
      <c r="U93">
        <v>210</v>
      </c>
      <c r="V93">
        <v>270</v>
      </c>
      <c r="W93">
        <v>2480</v>
      </c>
      <c r="X93">
        <v>1190</v>
      </c>
      <c r="Y93">
        <v>2090</v>
      </c>
      <c r="Z93">
        <v>1200</v>
      </c>
      <c r="AA93">
        <v>9910</v>
      </c>
      <c r="AB93">
        <v>2016</v>
      </c>
      <c r="AC93">
        <v>10834</v>
      </c>
      <c r="AD93">
        <v>0</v>
      </c>
      <c r="AE93">
        <v>0</v>
      </c>
      <c r="AF93">
        <v>4480</v>
      </c>
      <c r="AG93">
        <v>0</v>
      </c>
      <c r="AH93">
        <v>0</v>
      </c>
      <c r="AI93">
        <v>0</v>
      </c>
      <c r="AJ93">
        <v>1880</v>
      </c>
      <c r="AK93">
        <v>0</v>
      </c>
      <c r="AL93" s="12">
        <f>R93+S93+W93+X93</f>
        <v>12084</v>
      </c>
      <c r="AM93" s="13">
        <f>IF(AL93&gt;0,AF93/AL93,0)</f>
        <v>0.3707381661701423</v>
      </c>
      <c r="AN93" s="13">
        <f>IF(M93&gt;0,(AF93+AG93+AJ93+AK93)/M93,0)</f>
        <v>0.1584296532483061</v>
      </c>
      <c r="AO93">
        <v>5126</v>
      </c>
      <c r="AP93">
        <v>6770</v>
      </c>
      <c r="AQ93">
        <v>0</v>
      </c>
      <c r="AR93">
        <v>0</v>
      </c>
      <c r="AS93">
        <v>96</v>
      </c>
      <c r="AT93">
        <v>91</v>
      </c>
      <c r="AU93">
        <v>23</v>
      </c>
      <c r="AV93">
        <v>5</v>
      </c>
      <c r="AW93">
        <v>13</v>
      </c>
      <c r="AX93">
        <v>18</v>
      </c>
      <c r="AY93">
        <v>145</v>
      </c>
      <c r="AZ93">
        <v>0</v>
      </c>
      <c r="BA93">
        <v>610</v>
      </c>
      <c r="BB93">
        <v>10</v>
      </c>
      <c r="BC93">
        <v>11</v>
      </c>
      <c r="BD93">
        <v>4</v>
      </c>
      <c r="BE93">
        <v>13</v>
      </c>
      <c r="BF93">
        <v>19</v>
      </c>
    </row>
    <row r="94" spans="1:58">
      <c r="A94" t="s">
        <v>734</v>
      </c>
      <c r="B94">
        <v>9</v>
      </c>
      <c r="C94">
        <v>1</v>
      </c>
      <c r="D94" t="s">
        <v>731</v>
      </c>
      <c r="E94">
        <v>3</v>
      </c>
      <c r="F94" t="s">
        <v>722</v>
      </c>
      <c r="G94">
        <v>46</v>
      </c>
      <c r="H94">
        <v>53</v>
      </c>
      <c r="I94">
        <v>20</v>
      </c>
      <c r="J94">
        <v>10</v>
      </c>
      <c r="K94">
        <v>1</v>
      </c>
      <c r="L94">
        <v>9</v>
      </c>
      <c r="M94">
        <v>40758</v>
      </c>
      <c r="N94">
        <v>6360</v>
      </c>
      <c r="O94" s="12">
        <f>M94-N94</f>
        <v>34398</v>
      </c>
      <c r="P94">
        <v>258928</v>
      </c>
      <c r="Q94">
        <v>224530</v>
      </c>
      <c r="R94">
        <v>7678</v>
      </c>
      <c r="S94">
        <v>1600</v>
      </c>
      <c r="T94">
        <v>1530</v>
      </c>
      <c r="U94">
        <v>350</v>
      </c>
      <c r="V94">
        <v>0</v>
      </c>
      <c r="W94">
        <v>2520</v>
      </c>
      <c r="X94">
        <v>1190</v>
      </c>
      <c r="Y94">
        <v>0</v>
      </c>
      <c r="Z94">
        <v>1525</v>
      </c>
      <c r="AA94">
        <v>9960</v>
      </c>
      <c r="AB94">
        <v>2352</v>
      </c>
      <c r="AC94">
        <v>12053</v>
      </c>
      <c r="AD94">
        <v>0</v>
      </c>
      <c r="AE94">
        <v>0</v>
      </c>
      <c r="AF94">
        <v>4480</v>
      </c>
      <c r="AG94">
        <v>0</v>
      </c>
      <c r="AH94">
        <v>0</v>
      </c>
      <c r="AI94">
        <v>0</v>
      </c>
      <c r="AJ94">
        <v>1880</v>
      </c>
      <c r="AK94">
        <v>0</v>
      </c>
      <c r="AL94" s="12">
        <f>R94+S94+W94+X94</f>
        <v>12988</v>
      </c>
      <c r="AM94" s="13">
        <f>IF(AL94&gt;0,AF94/AL94,0)</f>
        <v>0.34493378503233757</v>
      </c>
      <c r="AN94" s="13">
        <f>IF(M94&gt;0,(AF94+AG94+AJ94+AK94)/M94,0)</f>
        <v>0.156042985426174</v>
      </c>
      <c r="AO94">
        <v>5136</v>
      </c>
      <c r="AP94">
        <v>6690</v>
      </c>
      <c r="AQ94">
        <v>0</v>
      </c>
      <c r="AR94">
        <v>0</v>
      </c>
      <c r="AS94">
        <v>97</v>
      </c>
      <c r="AT94">
        <v>92</v>
      </c>
      <c r="AU94">
        <v>23</v>
      </c>
      <c r="AV94">
        <v>5</v>
      </c>
      <c r="AW94">
        <v>13</v>
      </c>
      <c r="AX94">
        <v>18</v>
      </c>
      <c r="AY94">
        <v>166</v>
      </c>
      <c r="AZ94">
        <v>0</v>
      </c>
      <c r="BA94">
        <v>776</v>
      </c>
      <c r="BB94">
        <v>11</v>
      </c>
      <c r="BC94">
        <v>11</v>
      </c>
      <c r="BD94">
        <v>0</v>
      </c>
      <c r="BE94">
        <v>18</v>
      </c>
      <c r="BF94">
        <v>20</v>
      </c>
    </row>
    <row r="95" spans="1:58">
      <c r="A95" t="s">
        <v>734</v>
      </c>
      <c r="B95">
        <v>10</v>
      </c>
      <c r="C95">
        <v>1</v>
      </c>
      <c r="D95" t="s">
        <v>731</v>
      </c>
      <c r="E95">
        <v>3</v>
      </c>
      <c r="F95" t="s">
        <v>722</v>
      </c>
      <c r="G95">
        <v>53</v>
      </c>
      <c r="H95">
        <v>60</v>
      </c>
      <c r="I95">
        <v>20</v>
      </c>
      <c r="J95">
        <v>10</v>
      </c>
      <c r="K95">
        <v>4</v>
      </c>
      <c r="L95">
        <v>6</v>
      </c>
      <c r="M95">
        <v>46102</v>
      </c>
      <c r="N95">
        <v>6400</v>
      </c>
      <c r="O95" s="12">
        <f>M95-N95</f>
        <v>39702</v>
      </c>
      <c r="P95">
        <v>298630</v>
      </c>
      <c r="Q95">
        <v>258928</v>
      </c>
      <c r="R95">
        <v>8675</v>
      </c>
      <c r="S95">
        <v>1440</v>
      </c>
      <c r="T95">
        <v>1680</v>
      </c>
      <c r="U95">
        <v>350</v>
      </c>
      <c r="V95">
        <v>0</v>
      </c>
      <c r="W95">
        <v>2520</v>
      </c>
      <c r="X95">
        <v>1190</v>
      </c>
      <c r="Y95">
        <v>0</v>
      </c>
      <c r="Z95">
        <v>2250</v>
      </c>
      <c r="AA95">
        <v>12595</v>
      </c>
      <c r="AB95">
        <v>2352</v>
      </c>
      <c r="AC95">
        <v>13050</v>
      </c>
      <c r="AD95">
        <v>0</v>
      </c>
      <c r="AE95">
        <v>0</v>
      </c>
      <c r="AF95">
        <v>4480</v>
      </c>
      <c r="AG95">
        <v>0</v>
      </c>
      <c r="AH95">
        <v>0</v>
      </c>
      <c r="AI95">
        <v>0</v>
      </c>
      <c r="AJ95">
        <v>1920</v>
      </c>
      <c r="AK95">
        <v>0</v>
      </c>
      <c r="AL95" s="12">
        <f>R95+S95+W95+X95</f>
        <v>13825</v>
      </c>
      <c r="AM95" s="13">
        <f>IF(AL95&gt;0,AF95/AL95,0)</f>
        <v>0.3240506329113924</v>
      </c>
      <c r="AN95" s="13">
        <f>IF(M95&gt;0,(AF95+AG95+AJ95+AK95)/M95,0)</f>
        <v>0.1388226107327231</v>
      </c>
      <c r="AO95">
        <v>5113</v>
      </c>
      <c r="AP95">
        <v>6620</v>
      </c>
      <c r="AQ95">
        <v>0</v>
      </c>
      <c r="AR95">
        <v>0</v>
      </c>
      <c r="AS95">
        <v>97</v>
      </c>
      <c r="AT95">
        <v>92</v>
      </c>
      <c r="AU95">
        <v>23</v>
      </c>
      <c r="AV95">
        <v>5</v>
      </c>
      <c r="AW95">
        <v>13</v>
      </c>
      <c r="AX95">
        <v>18</v>
      </c>
      <c r="AY95">
        <v>146</v>
      </c>
      <c r="AZ95">
        <v>0</v>
      </c>
      <c r="BA95">
        <v>922</v>
      </c>
      <c r="BB95">
        <v>15</v>
      </c>
      <c r="BC95">
        <v>15</v>
      </c>
      <c r="BD95">
        <v>0</v>
      </c>
      <c r="BE95">
        <v>22</v>
      </c>
      <c r="BF95">
        <v>21</v>
      </c>
    </row>
    <row r="96" spans="1:58">
      <c r="A96" t="s">
        <v>734</v>
      </c>
      <c r="B96">
        <v>11</v>
      </c>
      <c r="C96">
        <v>1</v>
      </c>
      <c r="D96" t="s">
        <v>731</v>
      </c>
      <c r="E96">
        <v>1</v>
      </c>
      <c r="F96" t="s">
        <v>722</v>
      </c>
      <c r="G96">
        <v>60</v>
      </c>
      <c r="H96">
        <v>66</v>
      </c>
      <c r="I96">
        <v>20</v>
      </c>
      <c r="J96">
        <v>14</v>
      </c>
      <c r="K96">
        <v>3</v>
      </c>
      <c r="L96">
        <v>3</v>
      </c>
      <c r="M96">
        <v>54324</v>
      </c>
      <c r="N96">
        <v>6380</v>
      </c>
      <c r="O96" s="12">
        <f>M96-N96</f>
        <v>47944</v>
      </c>
      <c r="P96">
        <v>346574</v>
      </c>
      <c r="Q96">
        <v>298630</v>
      </c>
      <c r="R96">
        <v>11799</v>
      </c>
      <c r="S96">
        <v>1440</v>
      </c>
      <c r="T96">
        <v>1530</v>
      </c>
      <c r="U96">
        <v>2640</v>
      </c>
      <c r="V96">
        <v>1020</v>
      </c>
      <c r="W96">
        <v>2520</v>
      </c>
      <c r="X96">
        <v>1190</v>
      </c>
      <c r="Y96">
        <v>0</v>
      </c>
      <c r="Z96">
        <v>1850</v>
      </c>
      <c r="AA96">
        <v>12770</v>
      </c>
      <c r="AB96">
        <v>2016</v>
      </c>
      <c r="AC96">
        <v>15549</v>
      </c>
      <c r="AD96">
        <v>0</v>
      </c>
      <c r="AE96">
        <v>0</v>
      </c>
      <c r="AF96">
        <v>4480</v>
      </c>
      <c r="AG96">
        <v>0</v>
      </c>
      <c r="AH96">
        <v>0</v>
      </c>
      <c r="AI96">
        <v>0</v>
      </c>
      <c r="AJ96">
        <v>1900</v>
      </c>
      <c r="AK96">
        <v>0</v>
      </c>
      <c r="AL96" s="12">
        <f>R96+S96+W96+X96</f>
        <v>16949</v>
      </c>
      <c r="AM96" s="13">
        <f>IF(AL96&gt;0,AF96/AL96,0)</f>
        <v>0.26432237890141014</v>
      </c>
      <c r="AN96" s="13">
        <f>IF(M96&gt;0,(AF96+AG96+AJ96+AK96)/M96,0)</f>
        <v>0.11744348722479936</v>
      </c>
      <c r="AO96">
        <v>4692</v>
      </c>
      <c r="AP96">
        <v>6840</v>
      </c>
      <c r="AQ96">
        <v>0</v>
      </c>
      <c r="AR96">
        <v>0</v>
      </c>
      <c r="AS96">
        <v>96</v>
      </c>
      <c r="AT96">
        <v>91</v>
      </c>
      <c r="AU96">
        <v>21</v>
      </c>
      <c r="AV96">
        <v>5</v>
      </c>
      <c r="AW96">
        <v>13</v>
      </c>
      <c r="AX96">
        <v>18</v>
      </c>
      <c r="AY96">
        <v>226</v>
      </c>
      <c r="AZ96">
        <v>1000</v>
      </c>
      <c r="BA96">
        <v>148</v>
      </c>
      <c r="BB96">
        <v>18</v>
      </c>
      <c r="BC96">
        <v>15</v>
      </c>
      <c r="BD96">
        <v>0</v>
      </c>
      <c r="BE96">
        <v>21</v>
      </c>
      <c r="BF96">
        <v>22</v>
      </c>
    </row>
    <row r="97" spans="1:58">
      <c r="A97" t="s">
        <v>734</v>
      </c>
      <c r="B97">
        <v>12</v>
      </c>
      <c r="C97">
        <v>1</v>
      </c>
      <c r="D97" t="s">
        <v>731</v>
      </c>
      <c r="E97">
        <v>2</v>
      </c>
      <c r="F97" t="s">
        <v>722</v>
      </c>
      <c r="G97">
        <v>66</v>
      </c>
      <c r="H97">
        <v>74</v>
      </c>
      <c r="I97">
        <v>24</v>
      </c>
      <c r="J97">
        <v>16</v>
      </c>
      <c r="K97">
        <v>2</v>
      </c>
      <c r="L97">
        <v>6</v>
      </c>
      <c r="M97">
        <v>69785</v>
      </c>
      <c r="N97">
        <v>6380</v>
      </c>
      <c r="O97" s="12">
        <f>M97-N97</f>
        <v>63405</v>
      </c>
      <c r="P97">
        <v>409979</v>
      </c>
      <c r="Q97">
        <v>346574</v>
      </c>
      <c r="R97">
        <v>13311</v>
      </c>
      <c r="S97">
        <v>1600</v>
      </c>
      <c r="T97">
        <v>5480</v>
      </c>
      <c r="U97">
        <v>2270</v>
      </c>
      <c r="V97">
        <v>670</v>
      </c>
      <c r="W97">
        <v>2520</v>
      </c>
      <c r="X97">
        <v>1190</v>
      </c>
      <c r="Y97">
        <v>0</v>
      </c>
      <c r="Z97">
        <v>1975</v>
      </c>
      <c r="AA97">
        <v>19770</v>
      </c>
      <c r="AB97">
        <v>2688</v>
      </c>
      <c r="AC97">
        <v>18311</v>
      </c>
      <c r="AD97">
        <v>0</v>
      </c>
      <c r="AE97">
        <v>0</v>
      </c>
      <c r="AF97">
        <v>4480</v>
      </c>
      <c r="AG97">
        <v>0</v>
      </c>
      <c r="AH97">
        <v>0</v>
      </c>
      <c r="AI97">
        <v>0</v>
      </c>
      <c r="AJ97">
        <v>1900</v>
      </c>
      <c r="AK97">
        <v>0</v>
      </c>
      <c r="AL97" s="12">
        <f>R97+S97+W97+X97</f>
        <v>18621</v>
      </c>
      <c r="AM97" s="13">
        <f>IF(AL97&gt;0,AF97/AL97,0)</f>
        <v>0.24058858278287953</v>
      </c>
      <c r="AN97" s="13">
        <f>IF(M97&gt;0,(AF97+AG97+AJ97+AK97)/M97,0)</f>
        <v>0.09142365837930787</v>
      </c>
      <c r="AO97">
        <v>4467</v>
      </c>
      <c r="AP97">
        <v>6720</v>
      </c>
      <c r="AQ97">
        <v>0</v>
      </c>
      <c r="AR97">
        <v>0</v>
      </c>
      <c r="AS97">
        <v>96</v>
      </c>
      <c r="AT97">
        <v>91</v>
      </c>
      <c r="AU97">
        <v>20</v>
      </c>
      <c r="AV97">
        <v>5</v>
      </c>
      <c r="AW97">
        <v>13</v>
      </c>
      <c r="AX97">
        <v>18</v>
      </c>
      <c r="AY97">
        <v>272</v>
      </c>
      <c r="AZ97">
        <v>0</v>
      </c>
      <c r="BA97">
        <v>420</v>
      </c>
      <c r="BB97">
        <v>12</v>
      </c>
      <c r="BC97">
        <v>14</v>
      </c>
      <c r="BD97">
        <v>0</v>
      </c>
      <c r="BE97">
        <v>22</v>
      </c>
      <c r="BF97">
        <v>23</v>
      </c>
    </row>
    <row r="98" spans="1:58">
      <c r="A98" t="s">
        <v>734</v>
      </c>
      <c r="B98">
        <v>13</v>
      </c>
      <c r="C98">
        <v>1</v>
      </c>
      <c r="D98" t="s">
        <v>731</v>
      </c>
      <c r="E98">
        <v>3</v>
      </c>
      <c r="F98" t="s">
        <v>722</v>
      </c>
      <c r="G98">
        <v>74</v>
      </c>
      <c r="H98">
        <v>81</v>
      </c>
      <c r="I98">
        <v>21</v>
      </c>
      <c r="J98">
        <v>8</v>
      </c>
      <c r="K98">
        <v>7</v>
      </c>
      <c r="L98">
        <v>6</v>
      </c>
      <c r="M98">
        <v>42550</v>
      </c>
      <c r="N98">
        <v>6380</v>
      </c>
      <c r="O98" s="12">
        <f>M98-N98</f>
        <v>36170</v>
      </c>
      <c r="P98">
        <v>446149</v>
      </c>
      <c r="Q98">
        <v>409979</v>
      </c>
      <c r="R98">
        <v>8099</v>
      </c>
      <c r="S98">
        <v>1600</v>
      </c>
      <c r="T98">
        <v>1530</v>
      </c>
      <c r="U98">
        <v>350</v>
      </c>
      <c r="V98">
        <v>0</v>
      </c>
      <c r="W98">
        <v>2520</v>
      </c>
      <c r="X98">
        <v>1190</v>
      </c>
      <c r="Y98">
        <v>0</v>
      </c>
      <c r="Z98">
        <v>2025</v>
      </c>
      <c r="AA98">
        <v>10410</v>
      </c>
      <c r="AB98">
        <v>2352</v>
      </c>
      <c r="AC98">
        <v>12474</v>
      </c>
      <c r="AD98">
        <v>0</v>
      </c>
      <c r="AE98">
        <v>0</v>
      </c>
      <c r="AF98">
        <v>4480</v>
      </c>
      <c r="AG98">
        <v>0</v>
      </c>
      <c r="AH98">
        <v>0</v>
      </c>
      <c r="AI98">
        <v>0</v>
      </c>
      <c r="AJ98">
        <v>1900</v>
      </c>
      <c r="AK98">
        <v>0</v>
      </c>
      <c r="AL98" s="12">
        <f>R98+S98+W98+X98</f>
        <v>13409</v>
      </c>
      <c r="AM98" s="13">
        <f>IF(AL98&gt;0,AF98/AL98,0)</f>
        <v>0.3341039600268476</v>
      </c>
      <c r="AN98" s="13">
        <f>IF(M98&gt;0,(AF98+AG98+AJ98+AK98)/M98,0)</f>
        <v>0.1499412455934195</v>
      </c>
      <c r="AO98">
        <v>4465</v>
      </c>
      <c r="AP98">
        <v>6640</v>
      </c>
      <c r="AQ98">
        <v>0</v>
      </c>
      <c r="AR98">
        <v>0</v>
      </c>
      <c r="AS98">
        <v>97</v>
      </c>
      <c r="AT98">
        <v>92</v>
      </c>
      <c r="AU98">
        <v>20</v>
      </c>
      <c r="AV98">
        <v>5</v>
      </c>
      <c r="AW98">
        <v>13</v>
      </c>
      <c r="AX98">
        <v>18</v>
      </c>
      <c r="AY98">
        <v>157</v>
      </c>
      <c r="AZ98">
        <v>0</v>
      </c>
      <c r="BA98">
        <v>577</v>
      </c>
      <c r="BB98">
        <v>17</v>
      </c>
      <c r="BC98">
        <v>16</v>
      </c>
      <c r="BD98">
        <v>1</v>
      </c>
      <c r="BE98">
        <v>22</v>
      </c>
      <c r="BF98">
        <v>24</v>
      </c>
    </row>
    <row r="99" spans="1:58">
      <c r="A99" t="s">
        <v>734</v>
      </c>
      <c r="B99">
        <v>14</v>
      </c>
      <c r="C99">
        <v>1</v>
      </c>
      <c r="D99" t="s">
        <v>731</v>
      </c>
      <c r="E99">
        <v>1</v>
      </c>
      <c r="F99" t="s">
        <v>722</v>
      </c>
      <c r="G99">
        <v>81</v>
      </c>
      <c r="H99">
        <v>88</v>
      </c>
      <c r="I99">
        <v>19</v>
      </c>
      <c r="J99">
        <v>13</v>
      </c>
      <c r="K99">
        <v>2</v>
      </c>
      <c r="L99">
        <v>4</v>
      </c>
      <c r="M99">
        <v>46583</v>
      </c>
      <c r="N99">
        <v>5920</v>
      </c>
      <c r="O99" s="12">
        <f>M99-N99</f>
        <v>40663</v>
      </c>
      <c r="P99">
        <v>486812</v>
      </c>
      <c r="Q99">
        <v>446149</v>
      </c>
      <c r="R99">
        <v>11228</v>
      </c>
      <c r="S99">
        <v>1440</v>
      </c>
      <c r="T99">
        <v>300</v>
      </c>
      <c r="U99">
        <v>2640</v>
      </c>
      <c r="V99">
        <v>750</v>
      </c>
      <c r="W99">
        <v>2520</v>
      </c>
      <c r="X99">
        <v>1190</v>
      </c>
      <c r="Y99">
        <v>0</v>
      </c>
      <c r="Z99">
        <v>1775</v>
      </c>
      <c r="AA99">
        <v>6785</v>
      </c>
      <c r="AB99">
        <v>2352</v>
      </c>
      <c r="AC99">
        <v>15603</v>
      </c>
      <c r="AD99">
        <v>0</v>
      </c>
      <c r="AE99">
        <v>0</v>
      </c>
      <c r="AF99">
        <v>4480</v>
      </c>
      <c r="AG99">
        <v>0</v>
      </c>
      <c r="AH99">
        <v>0</v>
      </c>
      <c r="AI99">
        <v>0</v>
      </c>
      <c r="AJ99">
        <v>1440</v>
      </c>
      <c r="AK99">
        <v>0</v>
      </c>
      <c r="AL99" s="12">
        <f>R99+S99+W99+X99</f>
        <v>16378</v>
      </c>
      <c r="AM99" s="13">
        <f>IF(AL99&gt;0,AF99/AL99,0)</f>
        <v>0.27353767248748323</v>
      </c>
      <c r="AN99" s="13">
        <f>IF(M99&gt;0,(AF99+AG99+AJ99+AK99)/M99,0)</f>
        <v>0.12708498808578236</v>
      </c>
      <c r="AO99">
        <v>4659</v>
      </c>
      <c r="AP99">
        <v>6570</v>
      </c>
      <c r="AQ99">
        <v>0</v>
      </c>
      <c r="AR99">
        <v>0</v>
      </c>
      <c r="AS99">
        <v>97</v>
      </c>
      <c r="AT99">
        <v>92</v>
      </c>
      <c r="AU99">
        <v>21</v>
      </c>
      <c r="AV99">
        <v>5</v>
      </c>
      <c r="AW99">
        <v>13</v>
      </c>
      <c r="AX99">
        <v>18</v>
      </c>
      <c r="AY99">
        <v>163</v>
      </c>
      <c r="AZ99">
        <v>0</v>
      </c>
      <c r="BA99">
        <v>740</v>
      </c>
      <c r="BB99">
        <v>14</v>
      </c>
      <c r="BC99">
        <v>16</v>
      </c>
      <c r="BD99">
        <v>1</v>
      </c>
      <c r="BE99">
        <v>22</v>
      </c>
      <c r="BF99">
        <v>24</v>
      </c>
    </row>
    <row r="100" spans="1:58">
      <c r="A100" t="s">
        <v>734</v>
      </c>
      <c r="B100">
        <v>15</v>
      </c>
      <c r="C100">
        <v>1</v>
      </c>
      <c r="D100" t="s">
        <v>731</v>
      </c>
      <c r="E100">
        <v>1</v>
      </c>
      <c r="F100" t="s">
        <v>722</v>
      </c>
      <c r="G100">
        <v>88</v>
      </c>
      <c r="H100">
        <v>96</v>
      </c>
      <c r="I100">
        <v>24</v>
      </c>
      <c r="J100">
        <v>17</v>
      </c>
      <c r="K100">
        <v>3</v>
      </c>
      <c r="L100">
        <v>4</v>
      </c>
      <c r="M100">
        <v>69001</v>
      </c>
      <c r="N100">
        <v>5920</v>
      </c>
      <c r="O100" s="12">
        <f>M100-N100</f>
        <v>63081</v>
      </c>
      <c r="P100">
        <v>549893</v>
      </c>
      <c r="Q100">
        <v>486812</v>
      </c>
      <c r="R100">
        <v>16089</v>
      </c>
      <c r="S100">
        <v>1760</v>
      </c>
      <c r="T100">
        <v>9830</v>
      </c>
      <c r="U100">
        <v>2640</v>
      </c>
      <c r="V100">
        <v>1150</v>
      </c>
      <c r="W100">
        <v>2520</v>
      </c>
      <c r="X100">
        <v>1190</v>
      </c>
      <c r="Y100">
        <v>0</v>
      </c>
      <c r="Z100">
        <v>2250</v>
      </c>
      <c r="AA100">
        <v>7745</v>
      </c>
      <c r="AB100">
        <v>2688</v>
      </c>
      <c r="AC100">
        <v>21139</v>
      </c>
      <c r="AD100">
        <v>0</v>
      </c>
      <c r="AE100">
        <v>0</v>
      </c>
      <c r="AF100">
        <v>4480</v>
      </c>
      <c r="AG100">
        <v>0</v>
      </c>
      <c r="AH100">
        <v>0</v>
      </c>
      <c r="AI100">
        <v>0</v>
      </c>
      <c r="AJ100">
        <v>1440</v>
      </c>
      <c r="AK100">
        <v>0</v>
      </c>
      <c r="AL100" s="12">
        <f>R100+S100+W100+X100</f>
        <v>21559</v>
      </c>
      <c r="AM100" s="13">
        <f>IF(AL100&gt;0,AF100/AL100,0)</f>
        <v>0.20780184609675773</v>
      </c>
      <c r="AN100" s="13">
        <f>IF(M100&gt;0,(AF100+AG100+AJ100+AK100)/M100,0)</f>
        <v>0.08579585803104303</v>
      </c>
      <c r="AO100">
        <v>4233</v>
      </c>
      <c r="AP100">
        <v>6770</v>
      </c>
      <c r="AQ100">
        <v>0</v>
      </c>
      <c r="AR100">
        <v>0</v>
      </c>
      <c r="AS100">
        <v>96</v>
      </c>
      <c r="AT100">
        <v>92</v>
      </c>
      <c r="AU100">
        <v>19</v>
      </c>
      <c r="AV100">
        <v>5</v>
      </c>
      <c r="AW100">
        <v>13</v>
      </c>
      <c r="AX100">
        <v>18</v>
      </c>
      <c r="AY100">
        <v>352</v>
      </c>
      <c r="AZ100">
        <v>0</v>
      </c>
      <c r="BA100">
        <v>1092</v>
      </c>
      <c r="BB100">
        <v>18</v>
      </c>
      <c r="BC100">
        <v>17</v>
      </c>
      <c r="BD100">
        <v>1</v>
      </c>
      <c r="BE100">
        <v>24</v>
      </c>
      <c r="BF100">
        <v>25</v>
      </c>
    </row>
    <row r="101" spans="1:58">
      <c r="A101" t="s">
        <v>734</v>
      </c>
      <c r="B101">
        <v>16</v>
      </c>
      <c r="C101">
        <v>1</v>
      </c>
      <c r="D101" t="s">
        <v>731</v>
      </c>
      <c r="E101">
        <v>1</v>
      </c>
      <c r="F101" t="s">
        <v>722</v>
      </c>
      <c r="G101">
        <v>96</v>
      </c>
      <c r="H101">
        <v>103</v>
      </c>
      <c r="I101">
        <v>23</v>
      </c>
      <c r="J101">
        <v>19</v>
      </c>
      <c r="K101">
        <v>3</v>
      </c>
      <c r="L101">
        <v>1</v>
      </c>
      <c r="M101">
        <v>69728</v>
      </c>
      <c r="N101">
        <v>6340</v>
      </c>
      <c r="O101" s="12">
        <f>M101-N101</f>
        <v>63388</v>
      </c>
      <c r="P101">
        <v>613281</v>
      </c>
      <c r="Q101">
        <v>549893</v>
      </c>
      <c r="R101">
        <v>20148</v>
      </c>
      <c r="S101">
        <v>1920</v>
      </c>
      <c r="T101">
        <v>5030</v>
      </c>
      <c r="U101">
        <v>2640</v>
      </c>
      <c r="V101">
        <v>1420</v>
      </c>
      <c r="W101">
        <v>2520</v>
      </c>
      <c r="X101">
        <v>1190</v>
      </c>
      <c r="Y101">
        <v>0</v>
      </c>
      <c r="Z101">
        <v>1425</v>
      </c>
      <c r="AA101">
        <v>6560</v>
      </c>
      <c r="AB101">
        <v>2352</v>
      </c>
      <c r="AC101">
        <v>24523</v>
      </c>
      <c r="AD101">
        <v>0</v>
      </c>
      <c r="AE101">
        <v>0</v>
      </c>
      <c r="AF101">
        <v>4480</v>
      </c>
      <c r="AG101">
        <v>0</v>
      </c>
      <c r="AH101">
        <v>0</v>
      </c>
      <c r="AI101">
        <v>0</v>
      </c>
      <c r="AJ101">
        <v>1860</v>
      </c>
      <c r="AK101">
        <v>0</v>
      </c>
      <c r="AL101" s="12">
        <f>R101+S101+W101+X101</f>
        <v>25778</v>
      </c>
      <c r="AM101" s="13">
        <f>IF(AL101&gt;0,AF101/AL101,0)</f>
        <v>0.17379160524478238</v>
      </c>
      <c r="AN101" s="13">
        <f>IF(M101&gt;0,(AF101+AG101+AJ101+AK101)/M101,0)</f>
        <v>0.09092473611748508</v>
      </c>
      <c r="AO101">
        <v>4262</v>
      </c>
      <c r="AP101">
        <v>7530</v>
      </c>
      <c r="AQ101">
        <v>0</v>
      </c>
      <c r="AR101">
        <v>0</v>
      </c>
      <c r="AS101">
        <v>97</v>
      </c>
      <c r="AT101">
        <v>92</v>
      </c>
      <c r="AU101">
        <v>19</v>
      </c>
      <c r="AV101">
        <v>5</v>
      </c>
      <c r="AW101">
        <v>13</v>
      </c>
      <c r="AX101">
        <v>18</v>
      </c>
      <c r="AY101">
        <v>251</v>
      </c>
      <c r="AZ101">
        <v>0</v>
      </c>
      <c r="BA101">
        <v>1343</v>
      </c>
      <c r="BB101">
        <v>12</v>
      </c>
      <c r="BC101">
        <v>11</v>
      </c>
      <c r="BD101">
        <v>2</v>
      </c>
      <c r="BE101">
        <v>16</v>
      </c>
      <c r="BF101">
        <v>26</v>
      </c>
    </row>
    <row r="102" spans="1:58">
      <c r="A102" t="s">
        <v>734</v>
      </c>
      <c r="B102">
        <v>17</v>
      </c>
      <c r="C102">
        <v>1</v>
      </c>
      <c r="D102" t="s">
        <v>731</v>
      </c>
      <c r="E102">
        <v>1</v>
      </c>
      <c r="F102" t="s">
        <v>722</v>
      </c>
      <c r="G102">
        <v>103</v>
      </c>
      <c r="H102">
        <v>110</v>
      </c>
      <c r="I102">
        <v>21</v>
      </c>
      <c r="J102">
        <v>12</v>
      </c>
      <c r="K102">
        <v>6</v>
      </c>
      <c r="L102">
        <v>3</v>
      </c>
      <c r="M102">
        <v>51022</v>
      </c>
      <c r="N102">
        <v>5900</v>
      </c>
      <c r="O102" s="12">
        <f>M102-N102</f>
        <v>45122</v>
      </c>
      <c r="P102">
        <v>658403</v>
      </c>
      <c r="Q102">
        <v>613281</v>
      </c>
      <c r="R102">
        <v>13190</v>
      </c>
      <c r="S102">
        <v>1760</v>
      </c>
      <c r="T102">
        <v>1680</v>
      </c>
      <c r="U102">
        <v>2640</v>
      </c>
      <c r="V102">
        <v>750</v>
      </c>
      <c r="W102">
        <v>2520</v>
      </c>
      <c r="X102">
        <v>1190</v>
      </c>
      <c r="Y102">
        <v>0</v>
      </c>
      <c r="Z102">
        <v>1750</v>
      </c>
      <c r="AA102">
        <v>5625</v>
      </c>
      <c r="AB102">
        <v>2352</v>
      </c>
      <c r="AC102">
        <v>17565</v>
      </c>
      <c r="AD102">
        <v>0</v>
      </c>
      <c r="AE102">
        <v>0</v>
      </c>
      <c r="AF102">
        <v>4480</v>
      </c>
      <c r="AG102">
        <v>0</v>
      </c>
      <c r="AH102">
        <v>0</v>
      </c>
      <c r="AI102">
        <v>0</v>
      </c>
      <c r="AJ102">
        <v>1420</v>
      </c>
      <c r="AK102">
        <v>0</v>
      </c>
      <c r="AL102" s="12">
        <f>R102+S102+W102+X102</f>
        <v>18660</v>
      </c>
      <c r="AM102" s="13">
        <f>IF(AL102&gt;0,AF102/AL102,0)</f>
        <v>0.24008574490889603</v>
      </c>
      <c r="AN102" s="13">
        <f>IF(M102&gt;0,(AF102+AG102+AJ102+AK102)/M102,0)</f>
        <v>0.11563639214456509</v>
      </c>
      <c r="AO102">
        <v>4240</v>
      </c>
      <c r="AP102">
        <v>7440</v>
      </c>
      <c r="AQ102">
        <v>0</v>
      </c>
      <c r="AR102">
        <v>0</v>
      </c>
      <c r="AS102">
        <v>97</v>
      </c>
      <c r="AT102">
        <v>92</v>
      </c>
      <c r="AU102">
        <v>19</v>
      </c>
      <c r="AV102">
        <v>5</v>
      </c>
      <c r="AW102">
        <v>13</v>
      </c>
      <c r="AX102">
        <v>18</v>
      </c>
      <c r="AY102">
        <v>172</v>
      </c>
      <c r="AZ102">
        <v>0</v>
      </c>
      <c r="BA102">
        <v>1515</v>
      </c>
      <c r="BB102">
        <v>11</v>
      </c>
      <c r="BC102">
        <v>10</v>
      </c>
      <c r="BD102">
        <v>0</v>
      </c>
      <c r="BE102">
        <v>17</v>
      </c>
      <c r="BF102">
        <v>27</v>
      </c>
    </row>
    <row r="103" spans="1:58">
      <c r="A103" t="s">
        <v>734</v>
      </c>
      <c r="B103">
        <v>18</v>
      </c>
      <c r="C103">
        <v>1</v>
      </c>
      <c r="D103" t="s">
        <v>731</v>
      </c>
      <c r="E103">
        <v>3</v>
      </c>
      <c r="F103" t="s">
        <v>722</v>
      </c>
      <c r="G103">
        <v>110</v>
      </c>
      <c r="H103">
        <v>118</v>
      </c>
      <c r="I103">
        <v>24</v>
      </c>
      <c r="J103">
        <v>17</v>
      </c>
      <c r="K103">
        <v>3</v>
      </c>
      <c r="L103">
        <v>4</v>
      </c>
      <c r="M103">
        <v>66412</v>
      </c>
      <c r="N103">
        <v>5920</v>
      </c>
      <c r="O103" s="12">
        <f>M103-N103</f>
        <v>60492</v>
      </c>
      <c r="P103">
        <v>718895</v>
      </c>
      <c r="Q103">
        <v>658403</v>
      </c>
      <c r="R103">
        <v>14807</v>
      </c>
      <c r="S103">
        <v>1760</v>
      </c>
      <c r="T103">
        <v>9980</v>
      </c>
      <c r="U103">
        <v>350</v>
      </c>
      <c r="V103">
        <v>670</v>
      </c>
      <c r="W103">
        <v>2520</v>
      </c>
      <c r="X103">
        <v>1190</v>
      </c>
      <c r="Y103">
        <v>0</v>
      </c>
      <c r="Z103">
        <v>2300</v>
      </c>
      <c r="AA103">
        <v>10240</v>
      </c>
      <c r="AB103">
        <v>2688</v>
      </c>
      <c r="AC103">
        <v>19907</v>
      </c>
      <c r="AD103">
        <v>0</v>
      </c>
      <c r="AE103">
        <v>0</v>
      </c>
      <c r="AF103">
        <v>4480</v>
      </c>
      <c r="AG103">
        <v>0</v>
      </c>
      <c r="AH103">
        <v>0</v>
      </c>
      <c r="AI103">
        <v>0</v>
      </c>
      <c r="AJ103">
        <v>1440</v>
      </c>
      <c r="AK103">
        <v>0</v>
      </c>
      <c r="AL103" s="12">
        <f>R103+S103+W103+X103</f>
        <v>20277</v>
      </c>
      <c r="AM103" s="13">
        <f>IF(AL103&gt;0,AF103/AL103,0)</f>
        <v>0.22093998125955516</v>
      </c>
      <c r="AN103" s="13">
        <f>IF(M103&gt;0,(AF103+AG103+AJ103+AK103)/M103,0)</f>
        <v>0.08914051677407697</v>
      </c>
      <c r="AO103">
        <v>4525</v>
      </c>
      <c r="AP103">
        <v>7440</v>
      </c>
      <c r="AQ103">
        <v>0</v>
      </c>
      <c r="AR103">
        <v>0</v>
      </c>
      <c r="AS103">
        <v>97</v>
      </c>
      <c r="AT103">
        <v>92</v>
      </c>
      <c r="AU103">
        <v>20</v>
      </c>
      <c r="AV103">
        <v>5</v>
      </c>
      <c r="AW103">
        <v>13</v>
      </c>
      <c r="AX103">
        <v>18</v>
      </c>
      <c r="AY103">
        <v>323</v>
      </c>
      <c r="AZ103">
        <v>0</v>
      </c>
      <c r="BA103">
        <v>1838</v>
      </c>
      <c r="BB103">
        <v>21</v>
      </c>
      <c r="BC103">
        <v>21</v>
      </c>
      <c r="BD103">
        <v>4</v>
      </c>
      <c r="BE103">
        <v>25</v>
      </c>
      <c r="BF103">
        <v>27</v>
      </c>
    </row>
    <row r="104" spans="1:58">
      <c r="A104" t="s">
        <v>734</v>
      </c>
      <c r="B104">
        <v>19</v>
      </c>
      <c r="C104">
        <v>1</v>
      </c>
      <c r="D104" t="s">
        <v>731</v>
      </c>
      <c r="E104">
        <v>2</v>
      </c>
      <c r="F104" t="s">
        <v>722</v>
      </c>
      <c r="G104">
        <v>118</v>
      </c>
      <c r="H104">
        <v>125</v>
      </c>
      <c r="I104">
        <v>20</v>
      </c>
      <c r="J104">
        <v>10</v>
      </c>
      <c r="K104">
        <v>4</v>
      </c>
      <c r="L104">
        <v>6</v>
      </c>
      <c r="M104">
        <v>41344</v>
      </c>
      <c r="N104">
        <v>5900</v>
      </c>
      <c r="O104" s="12">
        <f>M104-N104</f>
        <v>35444</v>
      </c>
      <c r="P104">
        <v>754339</v>
      </c>
      <c r="Q104">
        <v>718895</v>
      </c>
      <c r="R104">
        <v>9086</v>
      </c>
      <c r="S104">
        <v>1600</v>
      </c>
      <c r="T104">
        <v>90</v>
      </c>
      <c r="U104">
        <v>2270</v>
      </c>
      <c r="V104">
        <v>0</v>
      </c>
      <c r="W104">
        <v>2520</v>
      </c>
      <c r="X104">
        <v>1190</v>
      </c>
      <c r="Y104">
        <v>0</v>
      </c>
      <c r="Z104">
        <v>2175</v>
      </c>
      <c r="AA104">
        <v>6600</v>
      </c>
      <c r="AB104">
        <v>2352</v>
      </c>
      <c r="AC104">
        <v>13461</v>
      </c>
      <c r="AD104">
        <v>0</v>
      </c>
      <c r="AE104">
        <v>0</v>
      </c>
      <c r="AF104">
        <v>4480</v>
      </c>
      <c r="AG104">
        <v>0</v>
      </c>
      <c r="AH104">
        <v>0</v>
      </c>
      <c r="AI104">
        <v>0</v>
      </c>
      <c r="AJ104">
        <v>1420</v>
      </c>
      <c r="AK104">
        <v>0</v>
      </c>
      <c r="AL104" s="12">
        <f>R104+S104+W104+X104</f>
        <v>14396</v>
      </c>
      <c r="AM104" s="13">
        <f>IF(AL104&gt;0,AF104/AL104,0)</f>
        <v>0.31119755487635453</v>
      </c>
      <c r="AN104" s="13">
        <f>IF(M104&gt;0,(AF104+AG104+AJ104+AK104)/M104,0)</f>
        <v>0.14270510835913314</v>
      </c>
      <c r="AO104">
        <v>4102</v>
      </c>
      <c r="AP104">
        <v>7140</v>
      </c>
      <c r="AQ104">
        <v>0</v>
      </c>
      <c r="AR104">
        <v>0</v>
      </c>
      <c r="AS104">
        <v>97</v>
      </c>
      <c r="AT104">
        <v>92</v>
      </c>
      <c r="AU104">
        <v>18</v>
      </c>
      <c r="AV104">
        <v>5</v>
      </c>
      <c r="AW104">
        <v>13</v>
      </c>
      <c r="AX104">
        <v>18</v>
      </c>
      <c r="AY104">
        <v>110</v>
      </c>
      <c r="AZ104">
        <v>0</v>
      </c>
      <c r="BA104">
        <v>1948</v>
      </c>
      <c r="BB104">
        <v>15</v>
      </c>
      <c r="BC104">
        <v>17</v>
      </c>
      <c r="BD104">
        <v>0</v>
      </c>
      <c r="BE104">
        <v>24</v>
      </c>
      <c r="BF104">
        <v>28</v>
      </c>
    </row>
    <row r="105" spans="1:58">
      <c r="A105" t="s">
        <v>734</v>
      </c>
      <c r="B105">
        <v>20</v>
      </c>
      <c r="C105">
        <v>1</v>
      </c>
      <c r="D105" t="s">
        <v>731</v>
      </c>
      <c r="E105">
        <v>4</v>
      </c>
      <c r="F105" t="s">
        <v>722</v>
      </c>
      <c r="G105">
        <v>125</v>
      </c>
      <c r="H105">
        <v>132</v>
      </c>
      <c r="I105">
        <v>22</v>
      </c>
      <c r="J105">
        <v>13</v>
      </c>
      <c r="K105">
        <v>6</v>
      </c>
      <c r="L105">
        <v>3</v>
      </c>
      <c r="M105">
        <v>48131</v>
      </c>
      <c r="N105">
        <v>5440</v>
      </c>
      <c r="O105" s="12">
        <f>M105-N105</f>
        <v>42691</v>
      </c>
      <c r="P105">
        <v>797030</v>
      </c>
      <c r="Q105">
        <v>754339</v>
      </c>
      <c r="R105">
        <v>10827</v>
      </c>
      <c r="S105">
        <v>1600</v>
      </c>
      <c r="T105">
        <v>5180</v>
      </c>
      <c r="U105">
        <v>280</v>
      </c>
      <c r="V105">
        <v>670</v>
      </c>
      <c r="W105">
        <v>2520</v>
      </c>
      <c r="X105">
        <v>1190</v>
      </c>
      <c r="Y105">
        <v>0</v>
      </c>
      <c r="Z105">
        <v>1925</v>
      </c>
      <c r="AA105">
        <v>6385</v>
      </c>
      <c r="AB105">
        <v>2352</v>
      </c>
      <c r="AC105">
        <v>15202</v>
      </c>
      <c r="AD105">
        <v>0</v>
      </c>
      <c r="AE105">
        <v>0</v>
      </c>
      <c r="AF105">
        <v>4480</v>
      </c>
      <c r="AG105">
        <v>0</v>
      </c>
      <c r="AH105">
        <v>0</v>
      </c>
      <c r="AI105">
        <v>0</v>
      </c>
      <c r="AJ105">
        <v>960</v>
      </c>
      <c r="AK105">
        <v>0</v>
      </c>
      <c r="AL105" s="12">
        <f>R105+S105+W105+X105</f>
        <v>16137</v>
      </c>
      <c r="AM105" s="13">
        <f>IF(AL105&gt;0,AF105/AL105,0)</f>
        <v>0.27762285430997086</v>
      </c>
      <c r="AN105" s="13">
        <f>IF(M105&gt;0,(AF105+AG105+AJ105+AK105)/M105,0)</f>
        <v>0.11302486962664395</v>
      </c>
      <c r="AO105">
        <v>4111</v>
      </c>
      <c r="AP105">
        <v>7440</v>
      </c>
      <c r="AQ105">
        <v>0</v>
      </c>
      <c r="AR105">
        <v>0</v>
      </c>
      <c r="AS105">
        <v>97</v>
      </c>
      <c r="AT105">
        <v>92</v>
      </c>
      <c r="AU105">
        <v>18</v>
      </c>
      <c r="AV105">
        <v>5</v>
      </c>
      <c r="AW105">
        <v>13</v>
      </c>
      <c r="AX105">
        <v>18</v>
      </c>
      <c r="AY105">
        <v>197</v>
      </c>
      <c r="AZ105">
        <v>0</v>
      </c>
      <c r="BA105">
        <v>2145</v>
      </c>
      <c r="BB105">
        <v>17</v>
      </c>
      <c r="BC105">
        <v>15</v>
      </c>
      <c r="BD105">
        <v>1</v>
      </c>
      <c r="BE105">
        <v>21</v>
      </c>
      <c r="BF105">
        <v>28</v>
      </c>
    </row>
    <row r="106" spans="1:58">
      <c r="A106" t="s">
        <v>734</v>
      </c>
      <c r="B106">
        <v>21</v>
      </c>
      <c r="C106">
        <v>1</v>
      </c>
      <c r="D106" t="s">
        <v>731</v>
      </c>
      <c r="E106">
        <v>2</v>
      </c>
      <c r="F106" t="s">
        <v>722</v>
      </c>
      <c r="G106">
        <v>132</v>
      </c>
      <c r="H106">
        <v>140</v>
      </c>
      <c r="I106">
        <v>24</v>
      </c>
      <c r="J106">
        <v>16</v>
      </c>
      <c r="K106">
        <v>3</v>
      </c>
      <c r="L106">
        <v>5</v>
      </c>
      <c r="M106">
        <v>68947</v>
      </c>
      <c r="N106">
        <v>4960</v>
      </c>
      <c r="O106" s="12">
        <f>M106-N106</f>
        <v>63987</v>
      </c>
      <c r="P106">
        <v>861017</v>
      </c>
      <c r="Q106">
        <v>797030</v>
      </c>
      <c r="R106">
        <v>15482</v>
      </c>
      <c r="S106">
        <v>1600</v>
      </c>
      <c r="T106">
        <v>9830</v>
      </c>
      <c r="U106">
        <v>2270</v>
      </c>
      <c r="V106">
        <v>400</v>
      </c>
      <c r="W106">
        <v>2520</v>
      </c>
      <c r="X106">
        <v>1190</v>
      </c>
      <c r="Y106">
        <v>0</v>
      </c>
      <c r="Z106">
        <v>2500</v>
      </c>
      <c r="AA106">
        <v>9835</v>
      </c>
      <c r="AB106">
        <v>2688</v>
      </c>
      <c r="AC106">
        <v>20632</v>
      </c>
      <c r="AD106">
        <v>0</v>
      </c>
      <c r="AE106">
        <v>0</v>
      </c>
      <c r="AF106">
        <v>4480</v>
      </c>
      <c r="AG106">
        <v>0</v>
      </c>
      <c r="AH106">
        <v>0</v>
      </c>
      <c r="AI106">
        <v>0</v>
      </c>
      <c r="AJ106">
        <v>480</v>
      </c>
      <c r="AK106">
        <v>0</v>
      </c>
      <c r="AL106" s="12">
        <f>R106+S106+W106+X106</f>
        <v>20792</v>
      </c>
      <c r="AM106" s="13">
        <f>IF(AL106&gt;0,AF106/AL106,0)</f>
        <v>0.21546748749519046</v>
      </c>
      <c r="AN106" s="13">
        <f>IF(M106&gt;0,(AF106+AG106+AJ106+AK106)/M106,0)</f>
        <v>0.07193931570626713</v>
      </c>
      <c r="AO106">
        <v>3859</v>
      </c>
      <c r="AP106">
        <v>7310</v>
      </c>
      <c r="AQ106">
        <v>0</v>
      </c>
      <c r="AR106">
        <v>0</v>
      </c>
      <c r="AS106">
        <v>98</v>
      </c>
      <c r="AT106">
        <v>92</v>
      </c>
      <c r="AU106">
        <v>17</v>
      </c>
      <c r="AV106">
        <v>5</v>
      </c>
      <c r="AW106">
        <v>13</v>
      </c>
      <c r="AX106">
        <v>18</v>
      </c>
      <c r="AY106">
        <v>354</v>
      </c>
      <c r="AZ106">
        <v>0</v>
      </c>
      <c r="BA106">
        <v>2499</v>
      </c>
      <c r="BB106">
        <v>19</v>
      </c>
      <c r="BC106">
        <v>20</v>
      </c>
      <c r="BD106">
        <v>0</v>
      </c>
      <c r="BE106">
        <v>28</v>
      </c>
      <c r="BF106">
        <v>29</v>
      </c>
    </row>
    <row r="107" spans="1:58">
      <c r="A107" t="s">
        <v>734</v>
      </c>
      <c r="B107">
        <v>22</v>
      </c>
      <c r="C107">
        <v>1</v>
      </c>
      <c r="D107" t="s">
        <v>731</v>
      </c>
      <c r="E107">
        <v>6</v>
      </c>
      <c r="F107" t="s">
        <v>722</v>
      </c>
      <c r="G107">
        <v>140</v>
      </c>
      <c r="H107">
        <v>148</v>
      </c>
      <c r="I107">
        <v>23</v>
      </c>
      <c r="J107">
        <v>13</v>
      </c>
      <c r="K107">
        <v>3</v>
      </c>
      <c r="L107">
        <v>7</v>
      </c>
      <c r="M107">
        <v>51985</v>
      </c>
      <c r="N107">
        <v>5920</v>
      </c>
      <c r="O107" s="12">
        <f>M107-N107</f>
        <v>46065</v>
      </c>
      <c r="P107">
        <v>907082</v>
      </c>
      <c r="Q107">
        <v>861017</v>
      </c>
      <c r="R107">
        <v>10446</v>
      </c>
      <c r="S107">
        <v>1760</v>
      </c>
      <c r="T107">
        <v>8540</v>
      </c>
      <c r="U107">
        <v>140</v>
      </c>
      <c r="V107">
        <v>670</v>
      </c>
      <c r="W107">
        <v>2520</v>
      </c>
      <c r="X107">
        <v>1190</v>
      </c>
      <c r="Y107">
        <v>0</v>
      </c>
      <c r="Z107">
        <v>1975</v>
      </c>
      <c r="AA107">
        <v>6760</v>
      </c>
      <c r="AB107">
        <v>2688</v>
      </c>
      <c r="AC107">
        <v>15296</v>
      </c>
      <c r="AD107">
        <v>0</v>
      </c>
      <c r="AE107">
        <v>0</v>
      </c>
      <c r="AF107">
        <v>4480</v>
      </c>
      <c r="AG107">
        <v>0</v>
      </c>
      <c r="AH107">
        <v>0</v>
      </c>
      <c r="AI107">
        <v>0</v>
      </c>
      <c r="AJ107">
        <v>1440</v>
      </c>
      <c r="AK107">
        <v>0</v>
      </c>
      <c r="AL107" s="12">
        <f>R107+S107+W107+X107</f>
        <v>15916</v>
      </c>
      <c r="AM107" s="13">
        <f>IF(AL107&gt;0,AF107/AL107,0)</f>
        <v>0.28147775823071125</v>
      </c>
      <c r="AN107" s="13">
        <f>IF(M107&gt;0,(AF107+AG107+AJ107+AK107)/M107,0)</f>
        <v>0.11387900355871886</v>
      </c>
      <c r="AO107">
        <v>3617</v>
      </c>
      <c r="AP107">
        <v>7440</v>
      </c>
      <c r="AQ107">
        <v>0</v>
      </c>
      <c r="AR107">
        <v>0</v>
      </c>
      <c r="AS107">
        <v>97</v>
      </c>
      <c r="AT107">
        <v>92</v>
      </c>
      <c r="AU107">
        <v>16</v>
      </c>
      <c r="AV107">
        <v>5</v>
      </c>
      <c r="AW107">
        <v>13</v>
      </c>
      <c r="AX107">
        <v>18</v>
      </c>
      <c r="AY107">
        <v>280</v>
      </c>
      <c r="AZ107">
        <v>0</v>
      </c>
      <c r="BA107">
        <v>2779</v>
      </c>
      <c r="BB107">
        <v>12</v>
      </c>
      <c r="BC107">
        <v>14</v>
      </c>
      <c r="BD107">
        <v>0</v>
      </c>
      <c r="BE107">
        <v>22</v>
      </c>
      <c r="BF107">
        <v>30</v>
      </c>
    </row>
    <row r="108" spans="1:58">
      <c r="A108" t="s">
        <v>734</v>
      </c>
      <c r="B108">
        <v>23</v>
      </c>
      <c r="C108">
        <v>1</v>
      </c>
      <c r="D108" t="s">
        <v>731</v>
      </c>
      <c r="E108">
        <v>1</v>
      </c>
      <c r="F108" t="s">
        <v>722</v>
      </c>
      <c r="G108">
        <v>148</v>
      </c>
      <c r="H108">
        <v>155</v>
      </c>
      <c r="I108">
        <v>20</v>
      </c>
      <c r="J108">
        <v>10</v>
      </c>
      <c r="K108">
        <v>5</v>
      </c>
      <c r="L108">
        <v>5</v>
      </c>
      <c r="M108">
        <v>46630</v>
      </c>
      <c r="N108">
        <v>6420</v>
      </c>
      <c r="O108" s="12">
        <f>M108-N108</f>
        <v>40210</v>
      </c>
      <c r="P108">
        <v>947292</v>
      </c>
      <c r="Q108">
        <v>907082</v>
      </c>
      <c r="R108">
        <v>8904</v>
      </c>
      <c r="S108">
        <v>1600</v>
      </c>
      <c r="T108">
        <v>4950</v>
      </c>
      <c r="U108">
        <v>2640</v>
      </c>
      <c r="V108">
        <v>750</v>
      </c>
      <c r="W108">
        <v>2520</v>
      </c>
      <c r="X108">
        <v>1190</v>
      </c>
      <c r="Y108">
        <v>0</v>
      </c>
      <c r="Z108">
        <v>1925</v>
      </c>
      <c r="AA108">
        <v>6520</v>
      </c>
      <c r="AB108">
        <v>2352</v>
      </c>
      <c r="AC108">
        <v>13279</v>
      </c>
      <c r="AD108">
        <v>0</v>
      </c>
      <c r="AE108">
        <v>0</v>
      </c>
      <c r="AF108">
        <v>4480</v>
      </c>
      <c r="AG108">
        <v>0</v>
      </c>
      <c r="AH108">
        <v>0</v>
      </c>
      <c r="AI108">
        <v>0</v>
      </c>
      <c r="AJ108">
        <v>1940</v>
      </c>
      <c r="AK108">
        <v>0</v>
      </c>
      <c r="AL108" s="12">
        <f>R108+S108+W108+X108</f>
        <v>14214</v>
      </c>
      <c r="AM108" s="13">
        <f>IF(AL108&gt;0,AF108/AL108,0)</f>
        <v>0.31518221471788377</v>
      </c>
      <c r="AN108" s="13">
        <f>IF(M108&gt;0,(AF108+AG108+AJ108+AK108)/M108,0)</f>
        <v>0.1376796054042462</v>
      </c>
      <c r="AO108">
        <v>3430</v>
      </c>
      <c r="AP108">
        <v>7440</v>
      </c>
      <c r="AQ108">
        <v>0</v>
      </c>
      <c r="AR108">
        <v>0</v>
      </c>
      <c r="AS108">
        <v>97</v>
      </c>
      <c r="AT108">
        <v>91</v>
      </c>
      <c r="AU108">
        <v>15</v>
      </c>
      <c r="AV108">
        <v>5</v>
      </c>
      <c r="AW108">
        <v>13</v>
      </c>
      <c r="AX108">
        <v>18</v>
      </c>
      <c r="AY108">
        <v>263</v>
      </c>
      <c r="AZ108">
        <v>0</v>
      </c>
      <c r="BA108">
        <v>3042</v>
      </c>
      <c r="BB108">
        <v>16</v>
      </c>
      <c r="BC108">
        <v>16</v>
      </c>
      <c r="BD108">
        <v>0</v>
      </c>
      <c r="BE108">
        <v>23</v>
      </c>
      <c r="BF108">
        <v>30</v>
      </c>
    </row>
    <row r="109" spans="1:58">
      <c r="A109" t="s">
        <v>734</v>
      </c>
      <c r="B109">
        <v>24</v>
      </c>
      <c r="C109">
        <v>1</v>
      </c>
      <c r="D109" t="s">
        <v>731</v>
      </c>
      <c r="E109">
        <v>4</v>
      </c>
      <c r="F109" t="s">
        <v>722</v>
      </c>
      <c r="G109">
        <v>155</v>
      </c>
      <c r="H109">
        <v>163</v>
      </c>
      <c r="I109">
        <v>24</v>
      </c>
      <c r="J109">
        <v>13</v>
      </c>
      <c r="K109">
        <v>3</v>
      </c>
      <c r="L109">
        <v>8</v>
      </c>
      <c r="M109">
        <v>49421</v>
      </c>
      <c r="N109">
        <v>6370</v>
      </c>
      <c r="O109" s="12">
        <f>M109-N109</f>
        <v>43051</v>
      </c>
      <c r="P109">
        <v>990343</v>
      </c>
      <c r="Q109">
        <v>947292</v>
      </c>
      <c r="R109">
        <v>10679</v>
      </c>
      <c r="S109">
        <v>1760</v>
      </c>
      <c r="T109">
        <v>5480</v>
      </c>
      <c r="U109">
        <v>280</v>
      </c>
      <c r="V109">
        <v>400</v>
      </c>
      <c r="W109">
        <v>2520</v>
      </c>
      <c r="X109">
        <v>1190</v>
      </c>
      <c r="Y109">
        <v>0</v>
      </c>
      <c r="Z109">
        <v>1750</v>
      </c>
      <c r="AA109">
        <v>7095</v>
      </c>
      <c r="AB109">
        <v>2688</v>
      </c>
      <c r="AC109">
        <v>15579</v>
      </c>
      <c r="AD109">
        <v>0</v>
      </c>
      <c r="AE109">
        <v>0</v>
      </c>
      <c r="AF109">
        <v>4480</v>
      </c>
      <c r="AG109">
        <v>0</v>
      </c>
      <c r="AH109">
        <v>0</v>
      </c>
      <c r="AI109">
        <v>0</v>
      </c>
      <c r="AJ109">
        <v>1890</v>
      </c>
      <c r="AK109">
        <v>0</v>
      </c>
      <c r="AL109" s="12">
        <f>R109+S109+W109+X109</f>
        <v>16149</v>
      </c>
      <c r="AM109" s="13">
        <f>IF(AL109&gt;0,AF109/AL109,0)</f>
        <v>0.27741655830082357</v>
      </c>
      <c r="AN109" s="13">
        <f>IF(M109&gt;0,(AF109+AG109+AJ109+AK109)/M109,0)</f>
        <v>0.12889257603043242</v>
      </c>
      <c r="AO109">
        <v>3647</v>
      </c>
      <c r="AP109">
        <v>7440</v>
      </c>
      <c r="AQ109">
        <v>0</v>
      </c>
      <c r="AR109">
        <v>0</v>
      </c>
      <c r="AS109">
        <v>97</v>
      </c>
      <c r="AT109">
        <v>92</v>
      </c>
      <c r="AU109">
        <v>16</v>
      </c>
      <c r="AV109">
        <v>5</v>
      </c>
      <c r="AW109">
        <v>13</v>
      </c>
      <c r="AX109">
        <v>18</v>
      </c>
      <c r="AY109">
        <v>209</v>
      </c>
      <c r="AZ109">
        <v>0</v>
      </c>
      <c r="BA109">
        <v>3251</v>
      </c>
      <c r="BB109">
        <v>15</v>
      </c>
      <c r="BC109">
        <v>15</v>
      </c>
      <c r="BD109">
        <v>2</v>
      </c>
      <c r="BE109">
        <v>21</v>
      </c>
      <c r="BF109">
        <v>31</v>
      </c>
    </row>
    <row r="110" spans="1:58">
      <c r="A110" t="s">
        <v>734</v>
      </c>
      <c r="B110">
        <v>25</v>
      </c>
      <c r="C110">
        <v>1</v>
      </c>
      <c r="D110" t="s">
        <v>731</v>
      </c>
      <c r="E110">
        <v>2</v>
      </c>
      <c r="F110" t="s">
        <v>722</v>
      </c>
      <c r="G110">
        <v>163</v>
      </c>
      <c r="H110">
        <v>170</v>
      </c>
      <c r="I110">
        <v>22</v>
      </c>
      <c r="J110">
        <v>13</v>
      </c>
      <c r="K110">
        <v>3</v>
      </c>
      <c r="L110">
        <v>6</v>
      </c>
      <c r="M110">
        <v>46958</v>
      </c>
      <c r="N110">
        <v>5440</v>
      </c>
      <c r="O110" s="12">
        <f>M110-N110</f>
        <v>41518</v>
      </c>
      <c r="P110">
        <v>1031861</v>
      </c>
      <c r="Q110">
        <v>990343</v>
      </c>
      <c r="R110">
        <v>11373</v>
      </c>
      <c r="S110">
        <v>1920</v>
      </c>
      <c r="T110">
        <v>1830</v>
      </c>
      <c r="U110">
        <v>2270</v>
      </c>
      <c r="V110">
        <v>0</v>
      </c>
      <c r="W110">
        <v>2520</v>
      </c>
      <c r="X110">
        <v>1190</v>
      </c>
      <c r="Y110">
        <v>0</v>
      </c>
      <c r="Z110">
        <v>1400</v>
      </c>
      <c r="AA110">
        <v>6355</v>
      </c>
      <c r="AB110">
        <v>2352</v>
      </c>
      <c r="AC110">
        <v>15748</v>
      </c>
      <c r="AD110">
        <v>0</v>
      </c>
      <c r="AE110">
        <v>0</v>
      </c>
      <c r="AF110">
        <v>4480</v>
      </c>
      <c r="AG110">
        <v>0</v>
      </c>
      <c r="AH110">
        <v>0</v>
      </c>
      <c r="AI110">
        <v>0</v>
      </c>
      <c r="AJ110">
        <v>960</v>
      </c>
      <c r="AK110">
        <v>0</v>
      </c>
      <c r="AL110" s="12">
        <f>R110+S110+W110+X110</f>
        <v>17003</v>
      </c>
      <c r="AM110" s="13">
        <f>IF(AL110&gt;0,AF110/AL110,0)</f>
        <v>0.2634829147797447</v>
      </c>
      <c r="AN110" s="13">
        <f>IF(M110&gt;0,(AF110+AG110+AJ110+AK110)/M110,0)</f>
        <v>0.11584820477873845</v>
      </c>
      <c r="AO110">
        <v>3673</v>
      </c>
      <c r="AP110">
        <v>7360</v>
      </c>
      <c r="AQ110">
        <v>0</v>
      </c>
      <c r="AR110">
        <v>0</v>
      </c>
      <c r="AS110">
        <v>97</v>
      </c>
      <c r="AT110">
        <v>92</v>
      </c>
      <c r="AU110">
        <v>16</v>
      </c>
      <c r="AV110">
        <v>5</v>
      </c>
      <c r="AW110">
        <v>13</v>
      </c>
      <c r="AX110">
        <v>18</v>
      </c>
      <c r="AY110">
        <v>127</v>
      </c>
      <c r="AZ110">
        <v>0</v>
      </c>
      <c r="BA110">
        <v>3378</v>
      </c>
      <c r="BB110">
        <v>12</v>
      </c>
      <c r="BC110">
        <v>11</v>
      </c>
      <c r="BD110">
        <v>2</v>
      </c>
      <c r="BE110">
        <v>16</v>
      </c>
      <c r="BF110">
        <v>31</v>
      </c>
    </row>
    <row r="111" spans="1:58">
      <c r="A111" t="s">
        <v>734</v>
      </c>
      <c r="B111">
        <v>26</v>
      </c>
      <c r="C111">
        <v>1</v>
      </c>
      <c r="D111" t="s">
        <v>731</v>
      </c>
      <c r="E111">
        <v>1</v>
      </c>
      <c r="F111" t="s">
        <v>722</v>
      </c>
      <c r="G111">
        <v>170</v>
      </c>
      <c r="H111">
        <v>177</v>
      </c>
      <c r="I111">
        <v>20</v>
      </c>
      <c r="J111">
        <v>12</v>
      </c>
      <c r="K111">
        <v>5</v>
      </c>
      <c r="L111">
        <v>3</v>
      </c>
      <c r="M111">
        <v>50750</v>
      </c>
      <c r="N111">
        <v>6420</v>
      </c>
      <c r="O111" s="12">
        <f>M111-N111</f>
        <v>44330</v>
      </c>
      <c r="P111">
        <v>1076191</v>
      </c>
      <c r="Q111">
        <v>1031861</v>
      </c>
      <c r="R111">
        <v>13219</v>
      </c>
      <c r="S111">
        <v>1440</v>
      </c>
      <c r="T111">
        <v>1530</v>
      </c>
      <c r="U111">
        <v>2640</v>
      </c>
      <c r="V111">
        <v>1020</v>
      </c>
      <c r="W111">
        <v>2520</v>
      </c>
      <c r="X111">
        <v>1190</v>
      </c>
      <c r="Y111">
        <v>0</v>
      </c>
      <c r="Z111">
        <v>1350</v>
      </c>
      <c r="AA111">
        <v>5895</v>
      </c>
      <c r="AB111">
        <v>2352</v>
      </c>
      <c r="AC111">
        <v>17594</v>
      </c>
      <c r="AD111">
        <v>0</v>
      </c>
      <c r="AE111">
        <v>0</v>
      </c>
      <c r="AF111">
        <v>4480</v>
      </c>
      <c r="AG111">
        <v>0</v>
      </c>
      <c r="AH111">
        <v>0</v>
      </c>
      <c r="AI111">
        <v>0</v>
      </c>
      <c r="AJ111">
        <v>1940</v>
      </c>
      <c r="AK111">
        <v>0</v>
      </c>
      <c r="AL111" s="12">
        <f>R111+S111+W111+X111</f>
        <v>18369</v>
      </c>
      <c r="AM111" s="13">
        <f>IF(AL111&gt;0,AF111/AL111,0)</f>
        <v>0.24388916108661332</v>
      </c>
      <c r="AN111" s="13">
        <f>IF(M111&gt;0,(AF111+AG111+AJ111+AK111)/M111,0)</f>
        <v>0.1265024630541872</v>
      </c>
      <c r="AO111">
        <v>3894</v>
      </c>
      <c r="AP111">
        <v>7530</v>
      </c>
      <c r="AQ111">
        <v>0</v>
      </c>
      <c r="AR111">
        <v>0</v>
      </c>
      <c r="AS111">
        <v>97</v>
      </c>
      <c r="AT111">
        <v>91</v>
      </c>
      <c r="AU111">
        <v>17</v>
      </c>
      <c r="AV111">
        <v>5</v>
      </c>
      <c r="AW111">
        <v>13</v>
      </c>
      <c r="AX111">
        <v>18</v>
      </c>
      <c r="AY111">
        <v>186</v>
      </c>
      <c r="AZ111">
        <v>0</v>
      </c>
      <c r="BA111">
        <v>3564</v>
      </c>
      <c r="BB111">
        <v>9</v>
      </c>
      <c r="BC111">
        <v>10</v>
      </c>
      <c r="BD111">
        <v>2</v>
      </c>
      <c r="BE111">
        <v>15</v>
      </c>
      <c r="BF111">
        <v>32</v>
      </c>
    </row>
    <row r="112" spans="1:58">
      <c r="A112" t="s">
        <v>735</v>
      </c>
      <c r="B112">
        <v>1</v>
      </c>
      <c r="C112">
        <v>8</v>
      </c>
      <c r="D112" t="s">
        <v>721</v>
      </c>
      <c r="E112">
        <v>3</v>
      </c>
      <c r="F112" t="s">
        <v>722</v>
      </c>
      <c r="G112">
        <v>1</v>
      </c>
      <c r="H112">
        <v>6</v>
      </c>
      <c r="I112">
        <v>15</v>
      </c>
      <c r="J112">
        <v>8</v>
      </c>
      <c r="K112">
        <v>2</v>
      </c>
      <c r="L112">
        <v>5</v>
      </c>
      <c r="M112">
        <v>13412</v>
      </c>
      <c r="N112">
        <v>11157</v>
      </c>
      <c r="O112" s="12">
        <f>M112-N112</f>
        <v>2255</v>
      </c>
      <c r="P112">
        <v>2755</v>
      </c>
      <c r="Q112">
        <v>50</v>
      </c>
      <c r="R112">
        <v>1987</v>
      </c>
      <c r="S112">
        <v>0</v>
      </c>
      <c r="T112">
        <v>0</v>
      </c>
      <c r="U112">
        <v>100</v>
      </c>
      <c r="V112">
        <v>120</v>
      </c>
      <c r="W112">
        <v>260</v>
      </c>
      <c r="X112">
        <v>340</v>
      </c>
      <c r="Y112">
        <v>1010</v>
      </c>
      <c r="Z112">
        <v>550</v>
      </c>
      <c r="AA112">
        <v>8165</v>
      </c>
      <c r="AB112">
        <v>880</v>
      </c>
      <c r="AC112">
        <v>0</v>
      </c>
      <c r="AD112">
        <v>5100</v>
      </c>
      <c r="AE112">
        <v>4200</v>
      </c>
      <c r="AF112">
        <v>908</v>
      </c>
      <c r="AG112">
        <v>559</v>
      </c>
      <c r="AH112">
        <v>0</v>
      </c>
      <c r="AI112">
        <v>0</v>
      </c>
      <c r="AJ112">
        <v>390</v>
      </c>
      <c r="AK112">
        <v>0</v>
      </c>
      <c r="AL112" s="12">
        <f>R112+S112+W112+X112</f>
        <v>2587</v>
      </c>
      <c r="AM112" s="13">
        <f>IF(AL112&gt;0,AF112/AL112,0)</f>
        <v>0.35098569771936605</v>
      </c>
      <c r="AN112" s="13">
        <f>IF(M112&gt;0,(AF112+AG112+AJ112+AK112)/M112,0)</f>
        <v>0.13845809722636446</v>
      </c>
      <c r="AO112">
        <v>1090</v>
      </c>
      <c r="AP112">
        <v>970</v>
      </c>
      <c r="AQ112">
        <v>0</v>
      </c>
      <c r="AR112">
        <v>6</v>
      </c>
      <c r="AS112">
        <v>46</v>
      </c>
      <c r="AT112">
        <v>39</v>
      </c>
      <c r="AU112">
        <v>23</v>
      </c>
      <c r="AV112">
        <v>2</v>
      </c>
      <c r="AW112">
        <v>4</v>
      </c>
      <c r="AX112">
        <v>8</v>
      </c>
      <c r="AY112">
        <v>169</v>
      </c>
      <c r="AZ112">
        <v>0</v>
      </c>
      <c r="BA112">
        <v>219</v>
      </c>
      <c r="BB112">
        <v>13</v>
      </c>
      <c r="BC112">
        <v>15</v>
      </c>
      <c r="BD112">
        <v>13</v>
      </c>
      <c r="BE112">
        <v>7</v>
      </c>
      <c r="BF112">
        <v>8</v>
      </c>
    </row>
    <row r="113" spans="1:58">
      <c r="A113" t="s">
        <v>735</v>
      </c>
      <c r="B113">
        <v>2</v>
      </c>
      <c r="C113">
        <v>8</v>
      </c>
      <c r="D113" t="s">
        <v>721</v>
      </c>
      <c r="E113">
        <v>1</v>
      </c>
      <c r="F113" t="s">
        <v>723</v>
      </c>
      <c r="G113">
        <v>6</v>
      </c>
      <c r="H113">
        <v>11</v>
      </c>
      <c r="I113">
        <v>17</v>
      </c>
      <c r="J113">
        <v>12</v>
      </c>
      <c r="K113">
        <v>2</v>
      </c>
      <c r="L113">
        <v>3</v>
      </c>
      <c r="M113">
        <v>20195</v>
      </c>
      <c r="N113">
        <v>20126</v>
      </c>
      <c r="O113" s="12">
        <f>M113-N113</f>
        <v>69</v>
      </c>
      <c r="P113">
        <v>2824</v>
      </c>
      <c r="Q113">
        <v>217</v>
      </c>
      <c r="R113">
        <v>3198</v>
      </c>
      <c r="S113">
        <v>180</v>
      </c>
      <c r="T113">
        <v>510</v>
      </c>
      <c r="U113">
        <v>1040</v>
      </c>
      <c r="V113">
        <v>645</v>
      </c>
      <c r="W113">
        <v>410</v>
      </c>
      <c r="X113">
        <v>630</v>
      </c>
      <c r="Y113">
        <v>2340</v>
      </c>
      <c r="Z113">
        <v>75</v>
      </c>
      <c r="AA113">
        <v>10095</v>
      </c>
      <c r="AB113">
        <v>1072</v>
      </c>
      <c r="AC113">
        <v>0</v>
      </c>
      <c r="AD113">
        <v>9300</v>
      </c>
      <c r="AE113">
        <v>2400</v>
      </c>
      <c r="AF113">
        <v>1650</v>
      </c>
      <c r="AG113">
        <v>6156</v>
      </c>
      <c r="AH113">
        <v>0</v>
      </c>
      <c r="AI113">
        <v>0</v>
      </c>
      <c r="AJ113">
        <v>620</v>
      </c>
      <c r="AK113">
        <v>0</v>
      </c>
      <c r="AL113" s="12">
        <f>R113+S113+W113+X113</f>
        <v>4418</v>
      </c>
      <c r="AM113" s="13">
        <f>IF(AL113&gt;0,AF113/AL113,0)</f>
        <v>0.37347215934812134</v>
      </c>
      <c r="AN113" s="13">
        <f>IF(M113&gt;0,(AF113+AG113+AJ113+AK113)/M113,0)</f>
        <v>0.41723198811587026</v>
      </c>
      <c r="AO113">
        <v>1507</v>
      </c>
      <c r="AP113">
        <v>1050</v>
      </c>
      <c r="AQ113">
        <v>0</v>
      </c>
      <c r="AR113">
        <v>14</v>
      </c>
      <c r="AS113">
        <v>54</v>
      </c>
      <c r="AT113">
        <v>40</v>
      </c>
      <c r="AU113">
        <v>23</v>
      </c>
      <c r="AV113">
        <v>2</v>
      </c>
      <c r="AW113">
        <v>7</v>
      </c>
      <c r="AX113">
        <v>10</v>
      </c>
      <c r="AY113">
        <v>264</v>
      </c>
      <c r="AZ113">
        <v>200</v>
      </c>
      <c r="BA113">
        <v>283</v>
      </c>
      <c r="BB113">
        <v>10</v>
      </c>
      <c r="BC113">
        <v>8</v>
      </c>
      <c r="BD113">
        <v>12</v>
      </c>
      <c r="BE113">
        <v>1</v>
      </c>
      <c r="BF113">
        <v>11</v>
      </c>
    </row>
    <row r="114" spans="1:58">
      <c r="A114" t="s">
        <v>735</v>
      </c>
      <c r="B114">
        <v>3</v>
      </c>
      <c r="C114">
        <v>7</v>
      </c>
      <c r="D114" t="s">
        <v>724</v>
      </c>
      <c r="E114">
        <v>1</v>
      </c>
      <c r="F114" t="s">
        <v>723</v>
      </c>
      <c r="G114">
        <v>11</v>
      </c>
      <c r="H114">
        <v>17</v>
      </c>
      <c r="I114">
        <v>17</v>
      </c>
      <c r="J114">
        <v>16</v>
      </c>
      <c r="K114">
        <v>1</v>
      </c>
      <c r="L114">
        <v>0</v>
      </c>
      <c r="M114">
        <v>27178</v>
      </c>
      <c r="N114">
        <v>24049</v>
      </c>
      <c r="O114" s="12">
        <f>M114-N114</f>
        <v>3129</v>
      </c>
      <c r="P114">
        <v>5953</v>
      </c>
      <c r="Q114">
        <v>849</v>
      </c>
      <c r="R114">
        <v>6163</v>
      </c>
      <c r="S114">
        <v>540</v>
      </c>
      <c r="T114">
        <v>595</v>
      </c>
      <c r="U114">
        <v>1040</v>
      </c>
      <c r="V114">
        <v>645</v>
      </c>
      <c r="W114">
        <v>680</v>
      </c>
      <c r="X114">
        <v>780</v>
      </c>
      <c r="Y114">
        <v>3720</v>
      </c>
      <c r="Z114">
        <v>225</v>
      </c>
      <c r="AA114">
        <v>11190</v>
      </c>
      <c r="AB114">
        <v>1600</v>
      </c>
      <c r="AC114">
        <v>0</v>
      </c>
      <c r="AD114">
        <v>4600</v>
      </c>
      <c r="AE114">
        <v>6500</v>
      </c>
      <c r="AF114">
        <v>2156</v>
      </c>
      <c r="AG114">
        <v>10303</v>
      </c>
      <c r="AH114">
        <v>0</v>
      </c>
      <c r="AI114">
        <v>0</v>
      </c>
      <c r="AJ114">
        <v>490</v>
      </c>
      <c r="AK114">
        <v>0</v>
      </c>
      <c r="AL114" s="12">
        <f>R114+S114+W114+X114</f>
        <v>8163</v>
      </c>
      <c r="AM114" s="13">
        <f>IF(AL114&gt;0,AF114/AL114,0)</f>
        <v>0.26411858385397524</v>
      </c>
      <c r="AN114" s="13">
        <f>IF(M114&gt;0,(AF114+AG114+AJ114+AK114)/M114,0)</f>
        <v>0.4764515416881301</v>
      </c>
      <c r="AO114">
        <v>2095</v>
      </c>
      <c r="AP114">
        <v>1340</v>
      </c>
      <c r="AQ114">
        <v>1</v>
      </c>
      <c r="AR114">
        <v>14</v>
      </c>
      <c r="AS114">
        <v>63</v>
      </c>
      <c r="AT114">
        <v>43</v>
      </c>
      <c r="AU114">
        <v>23</v>
      </c>
      <c r="AV114">
        <v>3</v>
      </c>
      <c r="AW114">
        <v>10</v>
      </c>
      <c r="AX114">
        <v>13</v>
      </c>
      <c r="AY114">
        <v>264</v>
      </c>
      <c r="AZ114">
        <v>0</v>
      </c>
      <c r="BA114">
        <v>547</v>
      </c>
      <c r="BB114">
        <v>11</v>
      </c>
      <c r="BC114">
        <v>12</v>
      </c>
      <c r="BD114">
        <v>15</v>
      </c>
      <c r="BE114">
        <v>3</v>
      </c>
      <c r="BF114">
        <v>13</v>
      </c>
    </row>
    <row r="115" spans="1:58">
      <c r="A115" t="s">
        <v>735</v>
      </c>
      <c r="B115">
        <v>4</v>
      </c>
      <c r="C115">
        <v>6</v>
      </c>
      <c r="D115" t="s">
        <v>725</v>
      </c>
      <c r="E115">
        <v>1</v>
      </c>
      <c r="F115" t="s">
        <v>723</v>
      </c>
      <c r="G115">
        <v>17</v>
      </c>
      <c r="H115">
        <v>23</v>
      </c>
      <c r="I115">
        <v>17</v>
      </c>
      <c r="J115">
        <v>13</v>
      </c>
      <c r="K115">
        <v>1</v>
      </c>
      <c r="L115">
        <v>3</v>
      </c>
      <c r="M115">
        <v>26616</v>
      </c>
      <c r="N115">
        <v>27790</v>
      </c>
      <c r="O115" s="12">
        <f>M115-N115</f>
        <v>-1174</v>
      </c>
      <c r="P115">
        <v>4779</v>
      </c>
      <c r="Q115">
        <v>612</v>
      </c>
      <c r="R115">
        <v>4357</v>
      </c>
      <c r="S115">
        <v>540</v>
      </c>
      <c r="T115">
        <v>680</v>
      </c>
      <c r="U115">
        <v>1040</v>
      </c>
      <c r="V115">
        <v>645</v>
      </c>
      <c r="W115">
        <v>1090</v>
      </c>
      <c r="X115">
        <v>1190</v>
      </c>
      <c r="Y115">
        <v>2905</v>
      </c>
      <c r="Z115">
        <v>450</v>
      </c>
      <c r="AA115">
        <v>12015</v>
      </c>
      <c r="AB115">
        <v>1704</v>
      </c>
      <c r="AC115">
        <v>0</v>
      </c>
      <c r="AD115">
        <v>7600</v>
      </c>
      <c r="AE115">
        <v>3000</v>
      </c>
      <c r="AF115">
        <v>2562</v>
      </c>
      <c r="AG115">
        <v>13608</v>
      </c>
      <c r="AH115">
        <v>0</v>
      </c>
      <c r="AI115">
        <v>0</v>
      </c>
      <c r="AJ115">
        <v>1020</v>
      </c>
      <c r="AK115">
        <v>0</v>
      </c>
      <c r="AL115" s="12">
        <f>R115+S115+W115+X115</f>
        <v>7177</v>
      </c>
      <c r="AM115" s="13">
        <f>IF(AL115&gt;0,AF115/AL115,0)</f>
        <v>0.35697366587710744</v>
      </c>
      <c r="AN115" s="13">
        <f>IF(M115&gt;0,(AF115+AG115+AJ115+AK115)/M115,0)</f>
        <v>0.6458521190261497</v>
      </c>
      <c r="AO115">
        <v>2583</v>
      </c>
      <c r="AP115">
        <v>1670</v>
      </c>
      <c r="AQ115">
        <v>2</v>
      </c>
      <c r="AR115">
        <v>14</v>
      </c>
      <c r="AS115">
        <v>70</v>
      </c>
      <c r="AT115">
        <v>48</v>
      </c>
      <c r="AU115">
        <v>23</v>
      </c>
      <c r="AV115">
        <v>4</v>
      </c>
      <c r="AW115">
        <v>12</v>
      </c>
      <c r="AX115">
        <v>14</v>
      </c>
      <c r="AY115">
        <v>212</v>
      </c>
      <c r="AZ115">
        <v>600</v>
      </c>
      <c r="BA115">
        <v>159</v>
      </c>
      <c r="BB115">
        <v>10</v>
      </c>
      <c r="BC115">
        <v>11</v>
      </c>
      <c r="BD115">
        <v>11</v>
      </c>
      <c r="BE115">
        <v>6</v>
      </c>
      <c r="BF115">
        <v>14</v>
      </c>
    </row>
    <row r="116" spans="1:58">
      <c r="A116" t="s">
        <v>735</v>
      </c>
      <c r="B116">
        <v>5</v>
      </c>
      <c r="C116">
        <v>5</v>
      </c>
      <c r="D116" t="s">
        <v>726</v>
      </c>
      <c r="E116">
        <v>1</v>
      </c>
      <c r="F116" t="s">
        <v>723</v>
      </c>
      <c r="G116">
        <v>23</v>
      </c>
      <c r="H116">
        <v>28</v>
      </c>
      <c r="I116">
        <v>17</v>
      </c>
      <c r="J116">
        <v>15</v>
      </c>
      <c r="K116">
        <v>2</v>
      </c>
      <c r="L116">
        <v>0</v>
      </c>
      <c r="M116">
        <v>35454</v>
      </c>
      <c r="N116">
        <v>35626</v>
      </c>
      <c r="O116" s="12">
        <f>M116-N116</f>
        <v>-172</v>
      </c>
      <c r="P116">
        <v>4607</v>
      </c>
      <c r="Q116">
        <v>1049</v>
      </c>
      <c r="R116">
        <v>7814</v>
      </c>
      <c r="S116">
        <v>720</v>
      </c>
      <c r="T116">
        <v>850</v>
      </c>
      <c r="U116">
        <v>1360</v>
      </c>
      <c r="V116">
        <v>675</v>
      </c>
      <c r="W116">
        <v>1280</v>
      </c>
      <c r="X116">
        <v>1190</v>
      </c>
      <c r="Y116">
        <v>5120</v>
      </c>
      <c r="Z116">
        <v>175</v>
      </c>
      <c r="AA116">
        <v>14710</v>
      </c>
      <c r="AB116">
        <v>1560</v>
      </c>
      <c r="AC116">
        <v>0</v>
      </c>
      <c r="AD116">
        <v>9000</v>
      </c>
      <c r="AE116">
        <v>8800</v>
      </c>
      <c r="AF116">
        <v>4176</v>
      </c>
      <c r="AG116">
        <v>12430</v>
      </c>
      <c r="AH116">
        <v>0</v>
      </c>
      <c r="AI116">
        <v>0</v>
      </c>
      <c r="AJ116">
        <v>1220</v>
      </c>
      <c r="AK116">
        <v>0</v>
      </c>
      <c r="AL116" s="12">
        <f>R116+S116+W116+X116</f>
        <v>11004</v>
      </c>
      <c r="AM116" s="13">
        <f>IF(AL116&gt;0,AF116/AL116,0)</f>
        <v>0.37949836423118866</v>
      </c>
      <c r="AN116" s="13">
        <f>IF(M116&gt;0,(AF116+AG116+AJ116+AK116)/M116,0)</f>
        <v>0.5027923506515485</v>
      </c>
      <c r="AO116">
        <v>3566</v>
      </c>
      <c r="AP116">
        <v>2350</v>
      </c>
      <c r="AQ116">
        <v>0</v>
      </c>
      <c r="AR116">
        <v>14</v>
      </c>
      <c r="AS116">
        <v>84</v>
      </c>
      <c r="AT116">
        <v>56</v>
      </c>
      <c r="AU116">
        <v>23</v>
      </c>
      <c r="AV116">
        <v>4</v>
      </c>
      <c r="AW116">
        <v>12</v>
      </c>
      <c r="AX116">
        <v>18</v>
      </c>
      <c r="AY116">
        <v>337</v>
      </c>
      <c r="AZ116">
        <v>0</v>
      </c>
      <c r="BA116">
        <v>496</v>
      </c>
      <c r="BB116">
        <v>12</v>
      </c>
      <c r="BC116">
        <v>11</v>
      </c>
      <c r="BD116">
        <v>14</v>
      </c>
      <c r="BE116">
        <v>2</v>
      </c>
      <c r="BF116">
        <v>16</v>
      </c>
    </row>
    <row r="117" spans="1:58">
      <c r="A117" t="s">
        <v>735</v>
      </c>
      <c r="B117">
        <v>6</v>
      </c>
      <c r="C117">
        <v>4</v>
      </c>
      <c r="D117" t="s">
        <v>727</v>
      </c>
      <c r="E117">
        <v>1</v>
      </c>
      <c r="F117" t="s">
        <v>723</v>
      </c>
      <c r="G117">
        <v>28</v>
      </c>
      <c r="H117">
        <v>34</v>
      </c>
      <c r="I117">
        <v>17</v>
      </c>
      <c r="J117">
        <v>16</v>
      </c>
      <c r="K117">
        <v>0</v>
      </c>
      <c r="L117">
        <v>1</v>
      </c>
      <c r="M117">
        <v>36122</v>
      </c>
      <c r="N117">
        <v>17829</v>
      </c>
      <c r="O117" s="12">
        <f>M117-N117</f>
        <v>18293</v>
      </c>
      <c r="P117">
        <v>22900</v>
      </c>
      <c r="Q117">
        <v>4607</v>
      </c>
      <c r="R117">
        <v>10721</v>
      </c>
      <c r="S117">
        <v>800</v>
      </c>
      <c r="T117">
        <v>1020</v>
      </c>
      <c r="U117">
        <v>1680</v>
      </c>
      <c r="V117">
        <v>825</v>
      </c>
      <c r="W117">
        <v>1640</v>
      </c>
      <c r="X117">
        <v>1190</v>
      </c>
      <c r="Y117">
        <v>4985</v>
      </c>
      <c r="Z117">
        <v>450</v>
      </c>
      <c r="AA117">
        <v>10795</v>
      </c>
      <c r="AB117">
        <v>2016</v>
      </c>
      <c r="AC117">
        <v>0</v>
      </c>
      <c r="AD117">
        <v>0</v>
      </c>
      <c r="AE117">
        <v>0</v>
      </c>
      <c r="AF117">
        <v>4480</v>
      </c>
      <c r="AG117">
        <v>12469</v>
      </c>
      <c r="AH117">
        <v>0</v>
      </c>
      <c r="AI117">
        <v>0</v>
      </c>
      <c r="AJ117">
        <v>880</v>
      </c>
      <c r="AK117">
        <v>0</v>
      </c>
      <c r="AL117" s="12">
        <f>R117+S117+W117+X117</f>
        <v>14351</v>
      </c>
      <c r="AM117" s="13">
        <f>IF(AL117&gt;0,AF117/AL117,0)</f>
        <v>0.3121733677095673</v>
      </c>
      <c r="AN117" s="13">
        <f>IF(M117&gt;0,(AF117+AG117+AJ117+AK117)/M117,0)</f>
        <v>0.4935773213000388</v>
      </c>
      <c r="AO117">
        <v>4277</v>
      </c>
      <c r="AP117">
        <v>3340</v>
      </c>
      <c r="AQ117">
        <v>0</v>
      </c>
      <c r="AR117">
        <v>14</v>
      </c>
      <c r="AS117">
        <v>90</v>
      </c>
      <c r="AT117">
        <v>64</v>
      </c>
      <c r="AU117">
        <v>23</v>
      </c>
      <c r="AV117">
        <v>5</v>
      </c>
      <c r="AW117">
        <v>13</v>
      </c>
      <c r="AX117">
        <v>18</v>
      </c>
      <c r="AY117">
        <v>176</v>
      </c>
      <c r="AZ117">
        <v>500</v>
      </c>
      <c r="BA117">
        <v>172</v>
      </c>
      <c r="BB117">
        <v>9</v>
      </c>
      <c r="BC117">
        <v>9</v>
      </c>
      <c r="BD117">
        <v>9</v>
      </c>
      <c r="BE117">
        <v>6</v>
      </c>
      <c r="BF117">
        <v>17</v>
      </c>
    </row>
    <row r="118" spans="1:58">
      <c r="A118" t="s">
        <v>735</v>
      </c>
      <c r="B118">
        <v>7</v>
      </c>
      <c r="C118">
        <v>3</v>
      </c>
      <c r="D118" t="s">
        <v>728</v>
      </c>
      <c r="E118">
        <v>1</v>
      </c>
      <c r="F118" t="s">
        <v>723</v>
      </c>
      <c r="G118">
        <v>34</v>
      </c>
      <c r="H118">
        <v>39</v>
      </c>
      <c r="I118">
        <v>15</v>
      </c>
      <c r="J118">
        <v>9</v>
      </c>
      <c r="K118">
        <v>4</v>
      </c>
      <c r="L118">
        <v>2</v>
      </c>
      <c r="M118">
        <v>31179</v>
      </c>
      <c r="N118">
        <v>11737</v>
      </c>
      <c r="O118" s="12">
        <f>M118-N118</f>
        <v>19442</v>
      </c>
      <c r="P118">
        <v>42342</v>
      </c>
      <c r="Q118">
        <v>22900</v>
      </c>
      <c r="R118">
        <v>7189</v>
      </c>
      <c r="S118">
        <v>960</v>
      </c>
      <c r="T118">
        <v>0</v>
      </c>
      <c r="U118">
        <v>2000</v>
      </c>
      <c r="V118">
        <v>780</v>
      </c>
      <c r="W118">
        <v>1780</v>
      </c>
      <c r="X118">
        <v>1190</v>
      </c>
      <c r="Y118">
        <v>5730</v>
      </c>
      <c r="Z118">
        <v>225</v>
      </c>
      <c r="AA118">
        <v>9645</v>
      </c>
      <c r="AB118">
        <v>1680</v>
      </c>
      <c r="AC118">
        <v>0</v>
      </c>
      <c r="AD118">
        <v>0</v>
      </c>
      <c r="AE118">
        <v>0</v>
      </c>
      <c r="AF118">
        <v>4480</v>
      </c>
      <c r="AG118">
        <v>4537</v>
      </c>
      <c r="AH118">
        <v>0</v>
      </c>
      <c r="AI118">
        <v>0</v>
      </c>
      <c r="AJ118">
        <v>2720</v>
      </c>
      <c r="AK118">
        <v>0</v>
      </c>
      <c r="AL118" s="12">
        <f>R118+S118+W118+X118</f>
        <v>11119</v>
      </c>
      <c r="AM118" s="13">
        <f>IF(AL118&gt;0,AF118/AL118,0)</f>
        <v>0.40291393110891266</v>
      </c>
      <c r="AN118" s="13">
        <f>IF(M118&gt;0,(AF118+AG118+AJ118+AK118)/M118,0)</f>
        <v>0.3764392700214888</v>
      </c>
      <c r="AO118">
        <v>4926</v>
      </c>
      <c r="AP118">
        <v>4440</v>
      </c>
      <c r="AQ118">
        <v>0</v>
      </c>
      <c r="AR118">
        <v>10</v>
      </c>
      <c r="AS118">
        <v>95</v>
      </c>
      <c r="AT118">
        <v>76</v>
      </c>
      <c r="AU118">
        <v>23</v>
      </c>
      <c r="AV118">
        <v>5</v>
      </c>
      <c r="AW118">
        <v>13</v>
      </c>
      <c r="AX118">
        <v>18</v>
      </c>
      <c r="AY118">
        <v>164</v>
      </c>
      <c r="AZ118">
        <v>0</v>
      </c>
      <c r="BA118">
        <v>336</v>
      </c>
      <c r="BB118">
        <v>8</v>
      </c>
      <c r="BC118">
        <v>9</v>
      </c>
      <c r="BD118">
        <v>11</v>
      </c>
      <c r="BE118">
        <v>3</v>
      </c>
      <c r="BF118">
        <v>18</v>
      </c>
    </row>
    <row r="119" spans="1:58">
      <c r="A119" t="s">
        <v>735</v>
      </c>
      <c r="B119">
        <v>8</v>
      </c>
      <c r="C119">
        <v>2</v>
      </c>
      <c r="D119" t="s">
        <v>730</v>
      </c>
      <c r="E119">
        <v>1</v>
      </c>
      <c r="F119" t="s">
        <v>723</v>
      </c>
      <c r="G119">
        <v>39</v>
      </c>
      <c r="H119">
        <v>44</v>
      </c>
      <c r="I119">
        <v>16</v>
      </c>
      <c r="J119">
        <v>15</v>
      </c>
      <c r="K119">
        <v>0</v>
      </c>
      <c r="L119">
        <v>1</v>
      </c>
      <c r="M119">
        <v>37030</v>
      </c>
      <c r="N119">
        <v>6340</v>
      </c>
      <c r="O119" s="12">
        <f>M119-N119</f>
        <v>30690</v>
      </c>
      <c r="P119">
        <v>73032</v>
      </c>
      <c r="Q119">
        <v>42342</v>
      </c>
      <c r="R119">
        <v>13370</v>
      </c>
      <c r="S119">
        <v>980</v>
      </c>
      <c r="T119">
        <v>80</v>
      </c>
      <c r="U119">
        <v>2320</v>
      </c>
      <c r="V119">
        <v>900</v>
      </c>
      <c r="W119">
        <v>2180</v>
      </c>
      <c r="X119">
        <v>1190</v>
      </c>
      <c r="Y119">
        <v>3050</v>
      </c>
      <c r="Z119">
        <v>825</v>
      </c>
      <c r="AA119">
        <v>10455</v>
      </c>
      <c r="AB119">
        <v>1680</v>
      </c>
      <c r="AC119">
        <v>0</v>
      </c>
      <c r="AD119">
        <v>0</v>
      </c>
      <c r="AE119">
        <v>0</v>
      </c>
      <c r="AF119">
        <v>4480</v>
      </c>
      <c r="AG119">
        <v>0</v>
      </c>
      <c r="AH119">
        <v>0</v>
      </c>
      <c r="AI119">
        <v>0</v>
      </c>
      <c r="AJ119">
        <v>1860</v>
      </c>
      <c r="AK119">
        <v>0</v>
      </c>
      <c r="AL119" s="12">
        <f>R119+S119+W119+X119</f>
        <v>17720</v>
      </c>
      <c r="AM119" s="13">
        <f>IF(AL119&gt;0,AF119/AL119,0)</f>
        <v>0.2528216704288939</v>
      </c>
      <c r="AN119" s="13">
        <f>IF(M119&gt;0,(AF119+AG119+AJ119+AK119)/M119,0)</f>
        <v>0.17121253038077236</v>
      </c>
      <c r="AO119">
        <v>5127</v>
      </c>
      <c r="AP119">
        <v>5580</v>
      </c>
      <c r="AQ119">
        <v>0</v>
      </c>
      <c r="AR119">
        <v>0</v>
      </c>
      <c r="AS119">
        <v>96</v>
      </c>
      <c r="AT119">
        <v>83</v>
      </c>
      <c r="AU119">
        <v>23</v>
      </c>
      <c r="AV119">
        <v>5</v>
      </c>
      <c r="AW119">
        <v>13</v>
      </c>
      <c r="AX119">
        <v>18</v>
      </c>
      <c r="AY119">
        <v>157</v>
      </c>
      <c r="AZ119">
        <v>0</v>
      </c>
      <c r="BA119">
        <v>493</v>
      </c>
      <c r="BB119">
        <v>12</v>
      </c>
      <c r="BC119">
        <v>10</v>
      </c>
      <c r="BD119">
        <v>5</v>
      </c>
      <c r="BE119">
        <v>10</v>
      </c>
      <c r="BF119">
        <v>19</v>
      </c>
    </row>
    <row r="120" spans="1:58">
      <c r="A120" t="s">
        <v>735</v>
      </c>
      <c r="B120">
        <v>9</v>
      </c>
      <c r="C120">
        <v>1</v>
      </c>
      <c r="D120" t="s">
        <v>731</v>
      </c>
      <c r="E120">
        <v>8</v>
      </c>
      <c r="F120" t="s">
        <v>732</v>
      </c>
      <c r="G120">
        <v>44</v>
      </c>
      <c r="H120">
        <v>52</v>
      </c>
      <c r="I120">
        <v>22</v>
      </c>
      <c r="J120">
        <v>9</v>
      </c>
      <c r="K120">
        <v>5</v>
      </c>
      <c r="L120">
        <v>8</v>
      </c>
      <c r="M120">
        <v>34870</v>
      </c>
      <c r="N120">
        <v>6360</v>
      </c>
      <c r="O120" s="12">
        <f>M120-N120</f>
        <v>28510</v>
      </c>
      <c r="P120">
        <v>101542</v>
      </c>
      <c r="Q120">
        <v>73032</v>
      </c>
      <c r="R120">
        <v>8592</v>
      </c>
      <c r="S120">
        <v>1760</v>
      </c>
      <c r="T120">
        <v>5030</v>
      </c>
      <c r="U120">
        <v>0</v>
      </c>
      <c r="V120">
        <v>400</v>
      </c>
      <c r="W120">
        <v>2460</v>
      </c>
      <c r="X120">
        <v>1190</v>
      </c>
      <c r="Y120">
        <v>490</v>
      </c>
      <c r="Z120">
        <v>1750</v>
      </c>
      <c r="AA120">
        <v>10510</v>
      </c>
      <c r="AB120">
        <v>2688</v>
      </c>
      <c r="AC120">
        <v>0</v>
      </c>
      <c r="AD120">
        <v>0</v>
      </c>
      <c r="AE120">
        <v>0</v>
      </c>
      <c r="AF120">
        <v>4480</v>
      </c>
      <c r="AG120">
        <v>0</v>
      </c>
      <c r="AH120">
        <v>0</v>
      </c>
      <c r="AI120">
        <v>0</v>
      </c>
      <c r="AJ120">
        <v>1880</v>
      </c>
      <c r="AK120">
        <v>0</v>
      </c>
      <c r="AL120" s="12">
        <f>R120+S120+W120+X120</f>
        <v>14002</v>
      </c>
      <c r="AM120" s="13">
        <f>IF(AL120&gt;0,AF120/AL120,0)</f>
        <v>0.31995429224396515</v>
      </c>
      <c r="AN120" s="13">
        <f>IF(M120&gt;0,(AF120+AG120+AJ120+AK120)/M120,0)</f>
        <v>0.1823917407513622</v>
      </c>
      <c r="AO120">
        <v>5196</v>
      </c>
      <c r="AP120">
        <v>6690</v>
      </c>
      <c r="AQ120">
        <v>0</v>
      </c>
      <c r="AR120">
        <v>0</v>
      </c>
      <c r="AS120">
        <v>97</v>
      </c>
      <c r="AT120">
        <v>92</v>
      </c>
      <c r="AU120">
        <v>23</v>
      </c>
      <c r="AV120">
        <v>5</v>
      </c>
      <c r="AW120">
        <v>13</v>
      </c>
      <c r="AX120">
        <v>18</v>
      </c>
      <c r="AY120">
        <v>192</v>
      </c>
      <c r="AZ120">
        <v>0</v>
      </c>
      <c r="BA120">
        <v>685</v>
      </c>
      <c r="BB120">
        <v>11</v>
      </c>
      <c r="BC120">
        <v>13</v>
      </c>
      <c r="BD120">
        <v>1</v>
      </c>
      <c r="BE120">
        <v>20</v>
      </c>
      <c r="BF120">
        <v>20</v>
      </c>
    </row>
    <row r="121" spans="1:58">
      <c r="A121" t="s">
        <v>735</v>
      </c>
      <c r="B121">
        <v>10</v>
      </c>
      <c r="C121">
        <v>2</v>
      </c>
      <c r="D121" t="s">
        <v>730</v>
      </c>
      <c r="E121">
        <v>1</v>
      </c>
      <c r="F121" t="s">
        <v>723</v>
      </c>
      <c r="G121">
        <v>52</v>
      </c>
      <c r="H121">
        <v>58</v>
      </c>
      <c r="I121">
        <v>19</v>
      </c>
      <c r="J121">
        <v>16</v>
      </c>
      <c r="K121">
        <v>0</v>
      </c>
      <c r="L121">
        <v>3</v>
      </c>
      <c r="M121">
        <v>43870</v>
      </c>
      <c r="N121">
        <v>6400</v>
      </c>
      <c r="O121" s="12">
        <f>M121-N121</f>
        <v>37470</v>
      </c>
      <c r="P121">
        <v>139012</v>
      </c>
      <c r="Q121">
        <v>101542</v>
      </c>
      <c r="R121">
        <v>12449</v>
      </c>
      <c r="S121">
        <v>1400</v>
      </c>
      <c r="T121">
        <v>6160</v>
      </c>
      <c r="U121">
        <v>2320</v>
      </c>
      <c r="V121">
        <v>1125</v>
      </c>
      <c r="W121">
        <v>2140</v>
      </c>
      <c r="X121">
        <v>1190</v>
      </c>
      <c r="Y121">
        <v>0</v>
      </c>
      <c r="Z121">
        <v>1900</v>
      </c>
      <c r="AA121">
        <v>13170</v>
      </c>
      <c r="AB121">
        <v>2016</v>
      </c>
      <c r="AC121">
        <v>0</v>
      </c>
      <c r="AD121">
        <v>0</v>
      </c>
      <c r="AE121">
        <v>0</v>
      </c>
      <c r="AF121">
        <v>4480</v>
      </c>
      <c r="AG121">
        <v>0</v>
      </c>
      <c r="AH121">
        <v>0</v>
      </c>
      <c r="AI121">
        <v>0</v>
      </c>
      <c r="AJ121">
        <v>1920</v>
      </c>
      <c r="AK121">
        <v>0</v>
      </c>
      <c r="AL121" s="12">
        <f>R121+S121+W121+X121</f>
        <v>17179</v>
      </c>
      <c r="AM121" s="13">
        <f>IF(AL121&gt;0,AF121/AL121,0)</f>
        <v>0.2607835147563886</v>
      </c>
      <c r="AN121" s="13">
        <f>IF(M121&gt;0,(AF121+AG121+AJ121+AK121)/M121,0)</f>
        <v>0.14588557100524277</v>
      </c>
      <c r="AO121">
        <v>5203</v>
      </c>
      <c r="AP121">
        <v>5580</v>
      </c>
      <c r="AQ121">
        <v>0</v>
      </c>
      <c r="AR121">
        <v>0</v>
      </c>
      <c r="AS121">
        <v>97</v>
      </c>
      <c r="AT121">
        <v>84</v>
      </c>
      <c r="AU121">
        <v>23</v>
      </c>
      <c r="AV121">
        <v>5</v>
      </c>
      <c r="AW121">
        <v>13</v>
      </c>
      <c r="AX121">
        <v>18</v>
      </c>
      <c r="AY121">
        <v>325</v>
      </c>
      <c r="AZ121">
        <v>0</v>
      </c>
      <c r="BA121">
        <v>1010</v>
      </c>
      <c r="BB121">
        <v>15</v>
      </c>
      <c r="BC121">
        <v>14</v>
      </c>
      <c r="BD121">
        <v>0</v>
      </c>
      <c r="BE121">
        <v>20</v>
      </c>
      <c r="BF121">
        <v>21</v>
      </c>
    </row>
    <row r="122" spans="1:58">
      <c r="A122" t="s">
        <v>735</v>
      </c>
      <c r="B122">
        <v>11</v>
      </c>
      <c r="C122">
        <v>1</v>
      </c>
      <c r="D122" t="s">
        <v>731</v>
      </c>
      <c r="E122">
        <v>2</v>
      </c>
      <c r="F122" t="s">
        <v>722</v>
      </c>
      <c r="G122">
        <v>58</v>
      </c>
      <c r="H122">
        <v>65</v>
      </c>
      <c r="I122">
        <v>22</v>
      </c>
      <c r="J122">
        <v>14</v>
      </c>
      <c r="K122">
        <v>4</v>
      </c>
      <c r="L122">
        <v>4</v>
      </c>
      <c r="M122">
        <v>43442</v>
      </c>
      <c r="N122">
        <v>6400</v>
      </c>
      <c r="O122" s="12">
        <f>M122-N122</f>
        <v>37042</v>
      </c>
      <c r="P122">
        <v>176054</v>
      </c>
      <c r="Q122">
        <v>139012</v>
      </c>
      <c r="R122">
        <v>13250</v>
      </c>
      <c r="S122">
        <v>1600</v>
      </c>
      <c r="T122">
        <v>5030</v>
      </c>
      <c r="U122">
        <v>2270</v>
      </c>
      <c r="V122">
        <v>670</v>
      </c>
      <c r="W122">
        <v>2440</v>
      </c>
      <c r="X122">
        <v>1190</v>
      </c>
      <c r="Y122">
        <v>0</v>
      </c>
      <c r="Z122">
        <v>2275</v>
      </c>
      <c r="AA122">
        <v>12365</v>
      </c>
      <c r="AB122">
        <v>2352</v>
      </c>
      <c r="AC122">
        <v>0</v>
      </c>
      <c r="AD122">
        <v>0</v>
      </c>
      <c r="AE122">
        <v>0</v>
      </c>
      <c r="AF122">
        <v>4480</v>
      </c>
      <c r="AG122">
        <v>0</v>
      </c>
      <c r="AH122">
        <v>0</v>
      </c>
      <c r="AI122">
        <v>0</v>
      </c>
      <c r="AJ122">
        <v>1920</v>
      </c>
      <c r="AK122">
        <v>0</v>
      </c>
      <c r="AL122" s="12">
        <f>R122+S122+W122+X122</f>
        <v>18480</v>
      </c>
      <c r="AM122" s="13">
        <f>IF(AL122&gt;0,AF122/AL122,0)</f>
        <v>0.24242424242424243</v>
      </c>
      <c r="AN122" s="13">
        <f>IF(M122&gt;0,(AF122+AG122+AJ122+AK122)/M122,0)</f>
        <v>0.14732286727130428</v>
      </c>
      <c r="AO122">
        <v>4978</v>
      </c>
      <c r="AP122">
        <v>6720</v>
      </c>
      <c r="AQ122">
        <v>0</v>
      </c>
      <c r="AR122">
        <v>0</v>
      </c>
      <c r="AS122">
        <v>97</v>
      </c>
      <c r="AT122">
        <v>91</v>
      </c>
      <c r="AU122">
        <v>22</v>
      </c>
      <c r="AV122">
        <v>5</v>
      </c>
      <c r="AW122">
        <v>13</v>
      </c>
      <c r="AX122">
        <v>18</v>
      </c>
      <c r="AY122">
        <v>211</v>
      </c>
      <c r="AZ122">
        <v>1000</v>
      </c>
      <c r="BA122">
        <v>221</v>
      </c>
      <c r="BB122">
        <v>17</v>
      </c>
      <c r="BC122">
        <v>17</v>
      </c>
      <c r="BD122">
        <v>0</v>
      </c>
      <c r="BE122">
        <v>24</v>
      </c>
      <c r="BF122">
        <v>22</v>
      </c>
    </row>
    <row r="123" spans="1:58">
      <c r="A123" t="s">
        <v>735</v>
      </c>
      <c r="B123">
        <v>12</v>
      </c>
      <c r="C123">
        <v>1</v>
      </c>
      <c r="D123" t="s">
        <v>731</v>
      </c>
      <c r="E123">
        <v>1</v>
      </c>
      <c r="F123" t="s">
        <v>722</v>
      </c>
      <c r="G123">
        <v>65</v>
      </c>
      <c r="H123">
        <v>73</v>
      </c>
      <c r="I123">
        <v>22</v>
      </c>
      <c r="J123">
        <v>14</v>
      </c>
      <c r="K123">
        <v>4</v>
      </c>
      <c r="L123">
        <v>4</v>
      </c>
      <c r="M123">
        <v>51864</v>
      </c>
      <c r="N123">
        <v>6400</v>
      </c>
      <c r="O123" s="12">
        <f>M123-N123</f>
        <v>45464</v>
      </c>
      <c r="P123">
        <v>221518</v>
      </c>
      <c r="Q123">
        <v>176054</v>
      </c>
      <c r="R123">
        <v>12981</v>
      </c>
      <c r="S123">
        <v>1600</v>
      </c>
      <c r="T123">
        <v>5350</v>
      </c>
      <c r="U123">
        <v>2640</v>
      </c>
      <c r="V123">
        <v>1420</v>
      </c>
      <c r="W123">
        <v>2520</v>
      </c>
      <c r="X123">
        <v>1190</v>
      </c>
      <c r="Y123">
        <v>0</v>
      </c>
      <c r="Z123">
        <v>2250</v>
      </c>
      <c r="AA123">
        <v>19225</v>
      </c>
      <c r="AB123">
        <v>2688</v>
      </c>
      <c r="AC123">
        <v>0</v>
      </c>
      <c r="AD123">
        <v>0</v>
      </c>
      <c r="AE123">
        <v>0</v>
      </c>
      <c r="AF123">
        <v>4480</v>
      </c>
      <c r="AG123">
        <v>0</v>
      </c>
      <c r="AH123">
        <v>0</v>
      </c>
      <c r="AI123">
        <v>0</v>
      </c>
      <c r="AJ123">
        <v>1920</v>
      </c>
      <c r="AK123">
        <v>0</v>
      </c>
      <c r="AL123" s="12">
        <f>R123+S123+W123+X123</f>
        <v>18291</v>
      </c>
      <c r="AM123" s="13">
        <f>IF(AL123&gt;0,AF123/AL123,0)</f>
        <v>0.24492920015308076</v>
      </c>
      <c r="AN123" s="13">
        <f>IF(M123&gt;0,(AF123+AG123+AJ123+AK123)/M123,0)</f>
        <v>0.1233996606509332</v>
      </c>
      <c r="AO123">
        <v>4947</v>
      </c>
      <c r="AP123">
        <v>6840</v>
      </c>
      <c r="AQ123">
        <v>0</v>
      </c>
      <c r="AR123">
        <v>0</v>
      </c>
      <c r="AS123">
        <v>97</v>
      </c>
      <c r="AT123">
        <v>91</v>
      </c>
      <c r="AU123">
        <v>22</v>
      </c>
      <c r="AV123">
        <v>5</v>
      </c>
      <c r="AW123">
        <v>13</v>
      </c>
      <c r="AX123">
        <v>18</v>
      </c>
      <c r="AY123">
        <v>324</v>
      </c>
      <c r="AZ123">
        <v>0</v>
      </c>
      <c r="BA123">
        <v>545</v>
      </c>
      <c r="BB123">
        <v>16</v>
      </c>
      <c r="BC123">
        <v>17</v>
      </c>
      <c r="BD123">
        <v>0</v>
      </c>
      <c r="BE123">
        <v>25</v>
      </c>
      <c r="BF123">
        <v>23</v>
      </c>
    </row>
    <row r="124" spans="1:58">
      <c r="A124" t="s">
        <v>735</v>
      </c>
      <c r="B124">
        <v>13</v>
      </c>
      <c r="C124">
        <v>1</v>
      </c>
      <c r="D124" t="s">
        <v>731</v>
      </c>
      <c r="E124">
        <v>2</v>
      </c>
      <c r="F124" t="s">
        <v>722</v>
      </c>
      <c r="G124">
        <v>73</v>
      </c>
      <c r="H124">
        <v>80</v>
      </c>
      <c r="I124">
        <v>21</v>
      </c>
      <c r="J124">
        <v>10</v>
      </c>
      <c r="K124">
        <v>4</v>
      </c>
      <c r="L124">
        <v>7</v>
      </c>
      <c r="M124">
        <v>35507</v>
      </c>
      <c r="N124">
        <v>6380</v>
      </c>
      <c r="O124" s="12">
        <f>M124-N124</f>
        <v>29127</v>
      </c>
      <c r="P124">
        <v>250645</v>
      </c>
      <c r="Q124">
        <v>221518</v>
      </c>
      <c r="R124">
        <v>8950</v>
      </c>
      <c r="S124">
        <v>1440</v>
      </c>
      <c r="T124">
        <v>4950</v>
      </c>
      <c r="U124">
        <v>2270</v>
      </c>
      <c r="V124">
        <v>0</v>
      </c>
      <c r="W124">
        <v>2520</v>
      </c>
      <c r="X124">
        <v>1190</v>
      </c>
      <c r="Y124">
        <v>0</v>
      </c>
      <c r="Z124">
        <v>2000</v>
      </c>
      <c r="AA124">
        <v>9835</v>
      </c>
      <c r="AB124">
        <v>2352</v>
      </c>
      <c r="AC124">
        <v>0</v>
      </c>
      <c r="AD124">
        <v>0</v>
      </c>
      <c r="AE124">
        <v>0</v>
      </c>
      <c r="AF124">
        <v>4480</v>
      </c>
      <c r="AG124">
        <v>0</v>
      </c>
      <c r="AH124">
        <v>0</v>
      </c>
      <c r="AI124">
        <v>0</v>
      </c>
      <c r="AJ124">
        <v>1900</v>
      </c>
      <c r="AK124">
        <v>0</v>
      </c>
      <c r="AL124" s="12">
        <f>R124+S124+W124+X124</f>
        <v>14100</v>
      </c>
      <c r="AM124" s="13">
        <f>IF(AL124&gt;0,AF124/AL124,0)</f>
        <v>0.3177304964539007</v>
      </c>
      <c r="AN124" s="13">
        <f>IF(M124&gt;0,(AF124+AG124+AJ124+AK124)/M124,0)</f>
        <v>0.17968287943222463</v>
      </c>
      <c r="AO124">
        <v>4945</v>
      </c>
      <c r="AP124">
        <v>7230</v>
      </c>
      <c r="AQ124">
        <v>0</v>
      </c>
      <c r="AR124">
        <v>0</v>
      </c>
      <c r="AS124">
        <v>97</v>
      </c>
      <c r="AT124">
        <v>92</v>
      </c>
      <c r="AU124">
        <v>22</v>
      </c>
      <c r="AV124">
        <v>5</v>
      </c>
      <c r="AW124">
        <v>13</v>
      </c>
      <c r="AX124">
        <v>18</v>
      </c>
      <c r="AY124">
        <v>210</v>
      </c>
      <c r="AZ124">
        <v>0</v>
      </c>
      <c r="BA124">
        <v>755</v>
      </c>
      <c r="BB124">
        <v>16</v>
      </c>
      <c r="BC124">
        <v>16</v>
      </c>
      <c r="BD124">
        <v>1</v>
      </c>
      <c r="BE124">
        <v>22</v>
      </c>
      <c r="BF124">
        <v>24</v>
      </c>
    </row>
    <row r="125" spans="1:58">
      <c r="A125" t="s">
        <v>735</v>
      </c>
      <c r="B125">
        <v>14</v>
      </c>
      <c r="C125">
        <v>1</v>
      </c>
      <c r="D125" t="s">
        <v>731</v>
      </c>
      <c r="E125">
        <v>1</v>
      </c>
      <c r="F125" t="s">
        <v>722</v>
      </c>
      <c r="G125">
        <v>80</v>
      </c>
      <c r="H125">
        <v>87</v>
      </c>
      <c r="I125">
        <v>22</v>
      </c>
      <c r="J125">
        <v>13</v>
      </c>
      <c r="K125">
        <v>4</v>
      </c>
      <c r="L125">
        <v>5</v>
      </c>
      <c r="M125">
        <v>33797</v>
      </c>
      <c r="N125">
        <v>5920</v>
      </c>
      <c r="O125" s="12">
        <f>M125-N125</f>
        <v>27877</v>
      </c>
      <c r="P125">
        <v>278522</v>
      </c>
      <c r="Q125">
        <v>250645</v>
      </c>
      <c r="R125">
        <v>11985</v>
      </c>
      <c r="S125">
        <v>1280</v>
      </c>
      <c r="T125">
        <v>820</v>
      </c>
      <c r="U125">
        <v>2640</v>
      </c>
      <c r="V125">
        <v>1420</v>
      </c>
      <c r="W125">
        <v>2520</v>
      </c>
      <c r="X125">
        <v>1190</v>
      </c>
      <c r="Y125">
        <v>0</v>
      </c>
      <c r="Z125">
        <v>1700</v>
      </c>
      <c r="AA125">
        <v>7890</v>
      </c>
      <c r="AB125">
        <v>2352</v>
      </c>
      <c r="AC125">
        <v>0</v>
      </c>
      <c r="AD125">
        <v>0</v>
      </c>
      <c r="AE125">
        <v>0</v>
      </c>
      <c r="AF125">
        <v>4480</v>
      </c>
      <c r="AG125">
        <v>0</v>
      </c>
      <c r="AH125">
        <v>0</v>
      </c>
      <c r="AI125">
        <v>0</v>
      </c>
      <c r="AJ125">
        <v>1440</v>
      </c>
      <c r="AK125">
        <v>0</v>
      </c>
      <c r="AL125" s="12">
        <f>R125+S125+W125+X125</f>
        <v>16975</v>
      </c>
      <c r="AM125" s="13">
        <f>IF(AL125&gt;0,AF125/AL125,0)</f>
        <v>0.2639175257731959</v>
      </c>
      <c r="AN125" s="13">
        <f>IF(M125&gt;0,(AF125+AG125+AJ125+AK125)/M125,0)</f>
        <v>0.17516347604816995</v>
      </c>
      <c r="AO125">
        <v>4304</v>
      </c>
      <c r="AP125">
        <v>7530</v>
      </c>
      <c r="AQ125">
        <v>0</v>
      </c>
      <c r="AR125">
        <v>0</v>
      </c>
      <c r="AS125">
        <v>97</v>
      </c>
      <c r="AT125">
        <v>92</v>
      </c>
      <c r="AU125">
        <v>19</v>
      </c>
      <c r="AV125">
        <v>5</v>
      </c>
      <c r="AW125">
        <v>13</v>
      </c>
      <c r="AX125">
        <v>18</v>
      </c>
      <c r="AY125">
        <v>120</v>
      </c>
      <c r="AZ125">
        <v>0</v>
      </c>
      <c r="BA125">
        <v>875</v>
      </c>
      <c r="BB125">
        <v>15</v>
      </c>
      <c r="BC125">
        <v>14</v>
      </c>
      <c r="BD125">
        <v>0</v>
      </c>
      <c r="BE125">
        <v>21</v>
      </c>
      <c r="BF125">
        <v>24</v>
      </c>
    </row>
    <row r="126" spans="1:58">
      <c r="A126" t="s">
        <v>735</v>
      </c>
      <c r="B126">
        <v>15</v>
      </c>
      <c r="C126">
        <v>1</v>
      </c>
      <c r="D126" t="s">
        <v>731</v>
      </c>
      <c r="E126">
        <v>1</v>
      </c>
      <c r="F126" t="s">
        <v>722</v>
      </c>
      <c r="G126">
        <v>87</v>
      </c>
      <c r="H126">
        <v>94</v>
      </c>
      <c r="I126">
        <v>21</v>
      </c>
      <c r="J126">
        <v>13</v>
      </c>
      <c r="K126">
        <v>2</v>
      </c>
      <c r="L126">
        <v>6</v>
      </c>
      <c r="M126">
        <v>37010</v>
      </c>
      <c r="N126">
        <v>6400</v>
      </c>
      <c r="O126" s="12">
        <f>M126-N126</f>
        <v>30610</v>
      </c>
      <c r="P126">
        <v>309132</v>
      </c>
      <c r="Q126">
        <v>278522</v>
      </c>
      <c r="R126">
        <v>11243</v>
      </c>
      <c r="S126">
        <v>1920</v>
      </c>
      <c r="T126">
        <v>5250</v>
      </c>
      <c r="U126">
        <v>2640</v>
      </c>
      <c r="V126">
        <v>750</v>
      </c>
      <c r="W126">
        <v>2520</v>
      </c>
      <c r="X126">
        <v>1190</v>
      </c>
      <c r="Y126">
        <v>0</v>
      </c>
      <c r="Z126">
        <v>2025</v>
      </c>
      <c r="AA126">
        <v>7120</v>
      </c>
      <c r="AB126">
        <v>2352</v>
      </c>
      <c r="AC126">
        <v>0</v>
      </c>
      <c r="AD126">
        <v>0</v>
      </c>
      <c r="AE126">
        <v>0</v>
      </c>
      <c r="AF126">
        <v>4480</v>
      </c>
      <c r="AG126">
        <v>0</v>
      </c>
      <c r="AH126">
        <v>0</v>
      </c>
      <c r="AI126">
        <v>0</v>
      </c>
      <c r="AJ126">
        <v>1920</v>
      </c>
      <c r="AK126">
        <v>0</v>
      </c>
      <c r="AL126" s="12">
        <f>R126+S126+W126+X126</f>
        <v>16873</v>
      </c>
      <c r="AM126" s="13">
        <f>IF(AL126&gt;0,AF126/AL126,0)</f>
        <v>0.2655129496829254</v>
      </c>
      <c r="AN126" s="13">
        <f>IF(M126&gt;0,(AF126+AG126+AJ126+AK126)/M126,0)</f>
        <v>0.17292623615239125</v>
      </c>
      <c r="AO126">
        <v>4482</v>
      </c>
      <c r="AP126">
        <v>7440</v>
      </c>
      <c r="AQ126">
        <v>0</v>
      </c>
      <c r="AR126">
        <v>0</v>
      </c>
      <c r="AS126">
        <v>97</v>
      </c>
      <c r="AT126">
        <v>92</v>
      </c>
      <c r="AU126">
        <v>20</v>
      </c>
      <c r="AV126">
        <v>5</v>
      </c>
      <c r="AW126">
        <v>13</v>
      </c>
      <c r="AX126">
        <v>18</v>
      </c>
      <c r="AY126">
        <v>241</v>
      </c>
      <c r="AZ126">
        <v>0</v>
      </c>
      <c r="BA126">
        <v>1116</v>
      </c>
      <c r="BB126">
        <v>15</v>
      </c>
      <c r="BC126">
        <v>16</v>
      </c>
      <c r="BD126">
        <v>1</v>
      </c>
      <c r="BE126">
        <v>22</v>
      </c>
      <c r="BF126">
        <v>25</v>
      </c>
    </row>
    <row r="127" spans="1:58">
      <c r="A127" t="s">
        <v>735</v>
      </c>
      <c r="B127">
        <v>16</v>
      </c>
      <c r="C127">
        <v>1</v>
      </c>
      <c r="D127" t="s">
        <v>731</v>
      </c>
      <c r="E127">
        <v>4</v>
      </c>
      <c r="F127" t="s">
        <v>722</v>
      </c>
      <c r="G127">
        <v>94</v>
      </c>
      <c r="H127">
        <v>101</v>
      </c>
      <c r="I127">
        <v>20</v>
      </c>
      <c r="J127">
        <v>8</v>
      </c>
      <c r="K127">
        <v>3</v>
      </c>
      <c r="L127">
        <v>9</v>
      </c>
      <c r="M127">
        <v>23547</v>
      </c>
      <c r="N127">
        <v>6380</v>
      </c>
      <c r="O127" s="12">
        <f>M127-N127</f>
        <v>17167</v>
      </c>
      <c r="P127">
        <v>326299</v>
      </c>
      <c r="Q127">
        <v>309132</v>
      </c>
      <c r="R127">
        <v>7220</v>
      </c>
      <c r="S127">
        <v>1760</v>
      </c>
      <c r="T127">
        <v>300</v>
      </c>
      <c r="U127">
        <v>280</v>
      </c>
      <c r="V127">
        <v>0</v>
      </c>
      <c r="W127">
        <v>2520</v>
      </c>
      <c r="X127">
        <v>1190</v>
      </c>
      <c r="Y127">
        <v>0</v>
      </c>
      <c r="Z127">
        <v>1675</v>
      </c>
      <c r="AA127">
        <v>6250</v>
      </c>
      <c r="AB127">
        <v>2352</v>
      </c>
      <c r="AC127">
        <v>0</v>
      </c>
      <c r="AD127">
        <v>0</v>
      </c>
      <c r="AE127">
        <v>0</v>
      </c>
      <c r="AF127">
        <v>4480</v>
      </c>
      <c r="AG127">
        <v>0</v>
      </c>
      <c r="AH127">
        <v>0</v>
      </c>
      <c r="AI127">
        <v>0</v>
      </c>
      <c r="AJ127">
        <v>1900</v>
      </c>
      <c r="AK127">
        <v>0</v>
      </c>
      <c r="AL127" s="12">
        <f>R127+S127+W127+X127</f>
        <v>12690</v>
      </c>
      <c r="AM127" s="13">
        <f>IF(AL127&gt;0,AF127/AL127,0)</f>
        <v>0.3530338849487786</v>
      </c>
      <c r="AN127" s="13">
        <f>IF(M127&gt;0,(AF127+AG127+AJ127+AK127)/M127,0)</f>
        <v>0.2709474667685905</v>
      </c>
      <c r="AO127">
        <v>4489</v>
      </c>
      <c r="AP127">
        <v>7140</v>
      </c>
      <c r="AQ127">
        <v>0</v>
      </c>
      <c r="AR127">
        <v>0</v>
      </c>
      <c r="AS127">
        <v>97</v>
      </c>
      <c r="AT127">
        <v>92</v>
      </c>
      <c r="AU127">
        <v>20</v>
      </c>
      <c r="AV127">
        <v>5</v>
      </c>
      <c r="AW127">
        <v>13</v>
      </c>
      <c r="AX127">
        <v>18</v>
      </c>
      <c r="AY127">
        <v>86</v>
      </c>
      <c r="AZ127">
        <v>0</v>
      </c>
      <c r="BA127">
        <v>1202</v>
      </c>
      <c r="BB127">
        <v>13</v>
      </c>
      <c r="BC127">
        <v>13</v>
      </c>
      <c r="BD127">
        <v>2</v>
      </c>
      <c r="BE127">
        <v>18</v>
      </c>
      <c r="BF127">
        <v>26</v>
      </c>
    </row>
    <row r="128" spans="1:58">
      <c r="A128" t="s">
        <v>735</v>
      </c>
      <c r="B128">
        <v>17</v>
      </c>
      <c r="C128">
        <v>1</v>
      </c>
      <c r="D128" t="s">
        <v>731</v>
      </c>
      <c r="E128">
        <v>1</v>
      </c>
      <c r="F128" t="s">
        <v>722</v>
      </c>
      <c r="G128">
        <v>101</v>
      </c>
      <c r="H128">
        <v>108</v>
      </c>
      <c r="I128">
        <v>22</v>
      </c>
      <c r="J128">
        <v>14</v>
      </c>
      <c r="K128">
        <v>3</v>
      </c>
      <c r="L128">
        <v>5</v>
      </c>
      <c r="M128">
        <v>35421</v>
      </c>
      <c r="N128">
        <v>5430</v>
      </c>
      <c r="O128" s="12">
        <f>M128-N128</f>
        <v>29991</v>
      </c>
      <c r="P128">
        <v>356290</v>
      </c>
      <c r="Q128">
        <v>326299</v>
      </c>
      <c r="R128">
        <v>12299</v>
      </c>
      <c r="S128">
        <v>1760</v>
      </c>
      <c r="T128">
        <v>2230</v>
      </c>
      <c r="U128">
        <v>2640</v>
      </c>
      <c r="V128">
        <v>1150</v>
      </c>
      <c r="W128">
        <v>2520</v>
      </c>
      <c r="X128">
        <v>1190</v>
      </c>
      <c r="Y128">
        <v>0</v>
      </c>
      <c r="Z128">
        <v>2075</v>
      </c>
      <c r="AA128">
        <v>7205</v>
      </c>
      <c r="AB128">
        <v>2352</v>
      </c>
      <c r="AC128">
        <v>0</v>
      </c>
      <c r="AD128">
        <v>0</v>
      </c>
      <c r="AE128">
        <v>0</v>
      </c>
      <c r="AF128">
        <v>4480</v>
      </c>
      <c r="AG128">
        <v>0</v>
      </c>
      <c r="AH128">
        <v>0</v>
      </c>
      <c r="AI128">
        <v>0</v>
      </c>
      <c r="AJ128">
        <v>950</v>
      </c>
      <c r="AK128">
        <v>0</v>
      </c>
      <c r="AL128" s="12">
        <f>R128+S128+W128+X128</f>
        <v>17769</v>
      </c>
      <c r="AM128" s="13">
        <f>IF(AL128&gt;0,AF128/AL128,0)</f>
        <v>0.2521244864651922</v>
      </c>
      <c r="AN128" s="13">
        <f>IF(M128&gt;0,(AF128+AG128+AJ128+AK128)/M128,0)</f>
        <v>0.15329889048869313</v>
      </c>
      <c r="AO128">
        <v>4275</v>
      </c>
      <c r="AP128">
        <v>7440</v>
      </c>
      <c r="AQ128">
        <v>0</v>
      </c>
      <c r="AR128">
        <v>0</v>
      </c>
      <c r="AS128">
        <v>97</v>
      </c>
      <c r="AT128">
        <v>92</v>
      </c>
      <c r="AU128">
        <v>19</v>
      </c>
      <c r="AV128">
        <v>5</v>
      </c>
      <c r="AW128">
        <v>13</v>
      </c>
      <c r="AX128">
        <v>18</v>
      </c>
      <c r="AY128">
        <v>153</v>
      </c>
      <c r="AZ128">
        <v>0</v>
      </c>
      <c r="BA128">
        <v>1355</v>
      </c>
      <c r="BB128">
        <v>14</v>
      </c>
      <c r="BC128">
        <v>14</v>
      </c>
      <c r="BD128">
        <v>0</v>
      </c>
      <c r="BE128">
        <v>21</v>
      </c>
      <c r="BF128">
        <v>26</v>
      </c>
    </row>
    <row r="129" spans="1:58">
      <c r="A129" t="s">
        <v>735</v>
      </c>
      <c r="B129">
        <v>18</v>
      </c>
      <c r="C129">
        <v>1</v>
      </c>
      <c r="D129" t="s">
        <v>731</v>
      </c>
      <c r="E129">
        <v>1</v>
      </c>
      <c r="F129" t="s">
        <v>722</v>
      </c>
      <c r="G129">
        <v>108</v>
      </c>
      <c r="H129">
        <v>116</v>
      </c>
      <c r="I129">
        <v>23</v>
      </c>
      <c r="J129">
        <v>14</v>
      </c>
      <c r="K129">
        <v>5</v>
      </c>
      <c r="L129">
        <v>4</v>
      </c>
      <c r="M129">
        <v>40053</v>
      </c>
      <c r="N129">
        <v>6360</v>
      </c>
      <c r="O129" s="12">
        <f>M129-N129</f>
        <v>33693</v>
      </c>
      <c r="P129">
        <v>389983</v>
      </c>
      <c r="Q129">
        <v>356290</v>
      </c>
      <c r="R129">
        <v>15350</v>
      </c>
      <c r="S129">
        <v>1760</v>
      </c>
      <c r="T129">
        <v>3770</v>
      </c>
      <c r="U129">
        <v>2640</v>
      </c>
      <c r="V129">
        <v>1150</v>
      </c>
      <c r="W129">
        <v>2520</v>
      </c>
      <c r="X129">
        <v>1190</v>
      </c>
      <c r="Y129">
        <v>0</v>
      </c>
      <c r="Z129">
        <v>1950</v>
      </c>
      <c r="AA129">
        <v>7035</v>
      </c>
      <c r="AB129">
        <v>2688</v>
      </c>
      <c r="AC129">
        <v>0</v>
      </c>
      <c r="AD129">
        <v>0</v>
      </c>
      <c r="AE129">
        <v>0</v>
      </c>
      <c r="AF129">
        <v>4480</v>
      </c>
      <c r="AG129">
        <v>0</v>
      </c>
      <c r="AH129">
        <v>0</v>
      </c>
      <c r="AI129">
        <v>0</v>
      </c>
      <c r="AJ129">
        <v>1880</v>
      </c>
      <c r="AK129">
        <v>0</v>
      </c>
      <c r="AL129" s="12">
        <f>R129+S129+W129+X129</f>
        <v>20820</v>
      </c>
      <c r="AM129" s="13">
        <f>IF(AL129&gt;0,AF129/AL129,0)</f>
        <v>0.21517771373679154</v>
      </c>
      <c r="AN129" s="13">
        <f>IF(M129&gt;0,(AF129+AG129+AJ129+AK129)/M129,0)</f>
        <v>0.15878960377499812</v>
      </c>
      <c r="AO129">
        <v>4718</v>
      </c>
      <c r="AP129">
        <v>7530</v>
      </c>
      <c r="AQ129">
        <v>0</v>
      </c>
      <c r="AR129">
        <v>0</v>
      </c>
      <c r="AS129">
        <v>96</v>
      </c>
      <c r="AT129">
        <v>92</v>
      </c>
      <c r="AU129">
        <v>21</v>
      </c>
      <c r="AV129">
        <v>5</v>
      </c>
      <c r="AW129">
        <v>13</v>
      </c>
      <c r="AX129">
        <v>18</v>
      </c>
      <c r="AY129">
        <v>203</v>
      </c>
      <c r="AZ129">
        <v>0</v>
      </c>
      <c r="BA129">
        <v>1558</v>
      </c>
      <c r="BB129">
        <v>16</v>
      </c>
      <c r="BC129">
        <v>16</v>
      </c>
      <c r="BD129">
        <v>3</v>
      </c>
      <c r="BE129">
        <v>21</v>
      </c>
      <c r="BF129">
        <v>27</v>
      </c>
    </row>
    <row r="130" spans="1:58">
      <c r="A130" t="s">
        <v>735</v>
      </c>
      <c r="B130">
        <v>19</v>
      </c>
      <c r="C130">
        <v>1</v>
      </c>
      <c r="D130" t="s">
        <v>731</v>
      </c>
      <c r="E130">
        <v>3</v>
      </c>
      <c r="F130" t="s">
        <v>722</v>
      </c>
      <c r="G130">
        <v>116</v>
      </c>
      <c r="H130">
        <v>123</v>
      </c>
      <c r="I130">
        <v>21</v>
      </c>
      <c r="J130">
        <v>10</v>
      </c>
      <c r="K130">
        <v>5</v>
      </c>
      <c r="L130">
        <v>6</v>
      </c>
      <c r="M130">
        <v>28518</v>
      </c>
      <c r="N130">
        <v>6360</v>
      </c>
      <c r="O130" s="12">
        <f>M130-N130</f>
        <v>22158</v>
      </c>
      <c r="P130">
        <v>412141</v>
      </c>
      <c r="Q130">
        <v>389983</v>
      </c>
      <c r="R130">
        <v>9526</v>
      </c>
      <c r="S130">
        <v>1600</v>
      </c>
      <c r="T130">
        <v>420</v>
      </c>
      <c r="U130">
        <v>350</v>
      </c>
      <c r="V130">
        <v>0</v>
      </c>
      <c r="W130">
        <v>2520</v>
      </c>
      <c r="X130">
        <v>1190</v>
      </c>
      <c r="Y130">
        <v>0</v>
      </c>
      <c r="Z130">
        <v>1950</v>
      </c>
      <c r="AA130">
        <v>8610</v>
      </c>
      <c r="AB130">
        <v>2352</v>
      </c>
      <c r="AC130">
        <v>0</v>
      </c>
      <c r="AD130">
        <v>0</v>
      </c>
      <c r="AE130">
        <v>0</v>
      </c>
      <c r="AF130">
        <v>4480</v>
      </c>
      <c r="AG130">
        <v>0</v>
      </c>
      <c r="AH130">
        <v>0</v>
      </c>
      <c r="AI130">
        <v>0</v>
      </c>
      <c r="AJ130">
        <v>1880</v>
      </c>
      <c r="AK130">
        <v>0</v>
      </c>
      <c r="AL130" s="12">
        <f>R130+S130+W130+X130</f>
        <v>14836</v>
      </c>
      <c r="AM130" s="13">
        <f>IF(AL130&gt;0,AF130/AL130,0)</f>
        <v>0.3019681854947425</v>
      </c>
      <c r="AN130" s="13">
        <f>IF(M130&gt;0,(AF130+AG130+AJ130+AK130)/M130,0)</f>
        <v>0.22301704186829371</v>
      </c>
      <c r="AO130">
        <v>4299</v>
      </c>
      <c r="AP130">
        <v>7310</v>
      </c>
      <c r="AQ130">
        <v>0</v>
      </c>
      <c r="AR130">
        <v>0</v>
      </c>
      <c r="AS130">
        <v>97</v>
      </c>
      <c r="AT130">
        <v>92</v>
      </c>
      <c r="AU130">
        <v>19</v>
      </c>
      <c r="AV130">
        <v>5</v>
      </c>
      <c r="AW130">
        <v>13</v>
      </c>
      <c r="AX130">
        <v>18</v>
      </c>
      <c r="AY130">
        <v>86</v>
      </c>
      <c r="AZ130">
        <v>0</v>
      </c>
      <c r="BA130">
        <v>1644</v>
      </c>
      <c r="BB130">
        <v>16</v>
      </c>
      <c r="BC130">
        <v>16</v>
      </c>
      <c r="BD130">
        <v>1</v>
      </c>
      <c r="BE130">
        <v>22</v>
      </c>
      <c r="BF130">
        <v>28</v>
      </c>
    </row>
    <row r="131" spans="1:58">
      <c r="A131" t="s">
        <v>735</v>
      </c>
      <c r="B131">
        <v>20</v>
      </c>
      <c r="C131">
        <v>1</v>
      </c>
      <c r="D131" t="s">
        <v>731</v>
      </c>
      <c r="E131">
        <v>5</v>
      </c>
      <c r="F131" t="s">
        <v>722</v>
      </c>
      <c r="G131">
        <v>123</v>
      </c>
      <c r="H131">
        <v>130</v>
      </c>
      <c r="I131">
        <v>21</v>
      </c>
      <c r="J131">
        <v>9</v>
      </c>
      <c r="K131">
        <v>5</v>
      </c>
      <c r="L131">
        <v>7</v>
      </c>
      <c r="M131">
        <v>28862</v>
      </c>
      <c r="N131">
        <v>5440</v>
      </c>
      <c r="O131" s="12">
        <f>M131-N131</f>
        <v>23422</v>
      </c>
      <c r="P131">
        <v>435563</v>
      </c>
      <c r="Q131">
        <v>412141</v>
      </c>
      <c r="R131">
        <v>8340</v>
      </c>
      <c r="S131">
        <v>1600</v>
      </c>
      <c r="T131">
        <v>3590</v>
      </c>
      <c r="U131">
        <v>210</v>
      </c>
      <c r="V131">
        <v>400</v>
      </c>
      <c r="W131">
        <v>2520</v>
      </c>
      <c r="X131">
        <v>1190</v>
      </c>
      <c r="Y131">
        <v>0</v>
      </c>
      <c r="Z131">
        <v>2000</v>
      </c>
      <c r="AA131">
        <v>6660</v>
      </c>
      <c r="AB131">
        <v>2352</v>
      </c>
      <c r="AC131">
        <v>0</v>
      </c>
      <c r="AD131">
        <v>0</v>
      </c>
      <c r="AE131">
        <v>0</v>
      </c>
      <c r="AF131">
        <v>4480</v>
      </c>
      <c r="AG131">
        <v>0</v>
      </c>
      <c r="AH131">
        <v>0</v>
      </c>
      <c r="AI131">
        <v>0</v>
      </c>
      <c r="AJ131">
        <v>960</v>
      </c>
      <c r="AK131">
        <v>0</v>
      </c>
      <c r="AL131" s="12">
        <f>R131+S131+W131+X131</f>
        <v>13650</v>
      </c>
      <c r="AM131" s="13">
        <f>IF(AL131&gt;0,AF131/AL131,0)</f>
        <v>0.3282051282051282</v>
      </c>
      <c r="AN131" s="13">
        <f>IF(M131&gt;0,(AF131+AG131+AJ131+AK131)/M131,0)</f>
        <v>0.18848312660245306</v>
      </c>
      <c r="AO131">
        <v>4307</v>
      </c>
      <c r="AP131">
        <v>7390</v>
      </c>
      <c r="AQ131">
        <v>0</v>
      </c>
      <c r="AR131">
        <v>0</v>
      </c>
      <c r="AS131">
        <v>97</v>
      </c>
      <c r="AT131">
        <v>92</v>
      </c>
      <c r="AU131">
        <v>19</v>
      </c>
      <c r="AV131">
        <v>5</v>
      </c>
      <c r="AW131">
        <v>13</v>
      </c>
      <c r="AX131">
        <v>18</v>
      </c>
      <c r="AY131">
        <v>146</v>
      </c>
      <c r="AZ131">
        <v>0</v>
      </c>
      <c r="BA131">
        <v>1790</v>
      </c>
      <c r="BB131">
        <v>17</v>
      </c>
      <c r="BC131">
        <v>17</v>
      </c>
      <c r="BD131">
        <v>2</v>
      </c>
      <c r="BE131">
        <v>22</v>
      </c>
      <c r="BF131">
        <v>28</v>
      </c>
    </row>
    <row r="132" spans="1:58">
      <c r="A132" t="s">
        <v>735</v>
      </c>
      <c r="B132">
        <v>21</v>
      </c>
      <c r="C132">
        <v>1</v>
      </c>
      <c r="D132" t="s">
        <v>731</v>
      </c>
      <c r="E132">
        <v>1</v>
      </c>
      <c r="F132" t="s">
        <v>722</v>
      </c>
      <c r="G132">
        <v>130</v>
      </c>
      <c r="H132">
        <v>136</v>
      </c>
      <c r="I132">
        <v>20</v>
      </c>
      <c r="J132">
        <v>8</v>
      </c>
      <c r="K132">
        <v>7</v>
      </c>
      <c r="L132">
        <v>5</v>
      </c>
      <c r="M132">
        <v>28130</v>
      </c>
      <c r="N132">
        <v>6400</v>
      </c>
      <c r="O132" s="12">
        <f>M132-N132</f>
        <v>21730</v>
      </c>
      <c r="P132">
        <v>457293</v>
      </c>
      <c r="Q132">
        <v>435563</v>
      </c>
      <c r="R132">
        <v>8469</v>
      </c>
      <c r="S132">
        <v>1600</v>
      </c>
      <c r="T132">
        <v>150</v>
      </c>
      <c r="U132">
        <v>2640</v>
      </c>
      <c r="V132">
        <v>750</v>
      </c>
      <c r="W132">
        <v>2520</v>
      </c>
      <c r="X132">
        <v>1190</v>
      </c>
      <c r="Y132">
        <v>0</v>
      </c>
      <c r="Z132">
        <v>1725</v>
      </c>
      <c r="AA132">
        <v>7070</v>
      </c>
      <c r="AB132">
        <v>2016</v>
      </c>
      <c r="AC132">
        <v>0</v>
      </c>
      <c r="AD132">
        <v>0</v>
      </c>
      <c r="AE132">
        <v>0</v>
      </c>
      <c r="AF132">
        <v>4480</v>
      </c>
      <c r="AG132">
        <v>0</v>
      </c>
      <c r="AH132">
        <v>0</v>
      </c>
      <c r="AI132">
        <v>0</v>
      </c>
      <c r="AJ132">
        <v>1920</v>
      </c>
      <c r="AK132">
        <v>0</v>
      </c>
      <c r="AL132" s="12">
        <f>R132+S132+W132+X132</f>
        <v>13779</v>
      </c>
      <c r="AM132" s="13">
        <f>IF(AL132&gt;0,AF132/AL132,0)</f>
        <v>0.3251324479280064</v>
      </c>
      <c r="AN132" s="13">
        <f>IF(M132&gt;0,(AF132+AG132+AJ132+AK132)/M132,0)</f>
        <v>0.22751510842516887</v>
      </c>
      <c r="AO132">
        <v>4513</v>
      </c>
      <c r="AP132">
        <v>7310</v>
      </c>
      <c r="AQ132">
        <v>0</v>
      </c>
      <c r="AR132">
        <v>0</v>
      </c>
      <c r="AS132">
        <v>97</v>
      </c>
      <c r="AT132">
        <v>92</v>
      </c>
      <c r="AU132">
        <v>20</v>
      </c>
      <c r="AV132">
        <v>5</v>
      </c>
      <c r="AW132">
        <v>13</v>
      </c>
      <c r="AX132">
        <v>18</v>
      </c>
      <c r="AY132">
        <v>112</v>
      </c>
      <c r="AZ132">
        <v>0</v>
      </c>
      <c r="BA132">
        <v>1902</v>
      </c>
      <c r="BB132">
        <v>15</v>
      </c>
      <c r="BC132">
        <v>15</v>
      </c>
      <c r="BD132">
        <v>2</v>
      </c>
      <c r="BE132">
        <v>19</v>
      </c>
      <c r="BF132">
        <v>29</v>
      </c>
    </row>
    <row r="133" spans="1:58">
      <c r="A133" t="s">
        <v>735</v>
      </c>
      <c r="B133">
        <v>22</v>
      </c>
      <c r="C133">
        <v>1</v>
      </c>
      <c r="D133" t="s">
        <v>731</v>
      </c>
      <c r="E133">
        <v>6</v>
      </c>
      <c r="F133" t="s">
        <v>722</v>
      </c>
      <c r="G133">
        <v>136</v>
      </c>
      <c r="H133">
        <v>143</v>
      </c>
      <c r="I133">
        <v>21</v>
      </c>
      <c r="J133">
        <v>8</v>
      </c>
      <c r="K133">
        <v>3</v>
      </c>
      <c r="L133">
        <v>10</v>
      </c>
      <c r="M133">
        <v>27915</v>
      </c>
      <c r="N133">
        <v>6390</v>
      </c>
      <c r="O133" s="12">
        <f>M133-N133</f>
        <v>21525</v>
      </c>
      <c r="P133">
        <v>478818</v>
      </c>
      <c r="Q133">
        <v>457293</v>
      </c>
      <c r="R133">
        <v>7543</v>
      </c>
      <c r="S133">
        <v>1600</v>
      </c>
      <c r="T133">
        <v>3350</v>
      </c>
      <c r="U133">
        <v>140</v>
      </c>
      <c r="V133">
        <v>670</v>
      </c>
      <c r="W133">
        <v>2520</v>
      </c>
      <c r="X133">
        <v>1190</v>
      </c>
      <c r="Y133">
        <v>0</v>
      </c>
      <c r="Z133">
        <v>1525</v>
      </c>
      <c r="AA133">
        <v>7025</v>
      </c>
      <c r="AB133">
        <v>2352</v>
      </c>
      <c r="AC133">
        <v>0</v>
      </c>
      <c r="AD133">
        <v>0</v>
      </c>
      <c r="AE133">
        <v>0</v>
      </c>
      <c r="AF133">
        <v>4480</v>
      </c>
      <c r="AG133">
        <v>0</v>
      </c>
      <c r="AH133">
        <v>0</v>
      </c>
      <c r="AI133">
        <v>0</v>
      </c>
      <c r="AJ133">
        <v>1910</v>
      </c>
      <c r="AK133">
        <v>0</v>
      </c>
      <c r="AL133" s="12">
        <f>R133+S133+W133+X133</f>
        <v>12853</v>
      </c>
      <c r="AM133" s="13">
        <f>IF(AL133&gt;0,AF133/AL133,0)</f>
        <v>0.3485567571773127</v>
      </c>
      <c r="AN133" s="13">
        <f>IF(M133&gt;0,(AF133+AG133+AJ133+AK133)/M133,0)</f>
        <v>0.2289091886082751</v>
      </c>
      <c r="AO133">
        <v>4046</v>
      </c>
      <c r="AP133">
        <v>7440</v>
      </c>
      <c r="AQ133">
        <v>0</v>
      </c>
      <c r="AR133">
        <v>0</v>
      </c>
      <c r="AS133">
        <v>97</v>
      </c>
      <c r="AT133">
        <v>92</v>
      </c>
      <c r="AU133">
        <v>18</v>
      </c>
      <c r="AV133">
        <v>5</v>
      </c>
      <c r="AW133">
        <v>13</v>
      </c>
      <c r="AX133">
        <v>18</v>
      </c>
      <c r="AY133">
        <v>181</v>
      </c>
      <c r="AZ133">
        <v>0</v>
      </c>
      <c r="BA133">
        <v>2083</v>
      </c>
      <c r="BB133">
        <v>13</v>
      </c>
      <c r="BC133">
        <v>11</v>
      </c>
      <c r="BD133">
        <v>1</v>
      </c>
      <c r="BE133">
        <v>17</v>
      </c>
      <c r="BF133">
        <v>29</v>
      </c>
    </row>
    <row r="134" spans="1:58">
      <c r="A134" t="s">
        <v>735</v>
      </c>
      <c r="B134">
        <v>23</v>
      </c>
      <c r="C134">
        <v>1</v>
      </c>
      <c r="D134" t="s">
        <v>731</v>
      </c>
      <c r="E134">
        <v>1</v>
      </c>
      <c r="F134" t="s">
        <v>722</v>
      </c>
      <c r="G134">
        <v>143</v>
      </c>
      <c r="H134">
        <v>151</v>
      </c>
      <c r="I134">
        <v>22</v>
      </c>
      <c r="J134">
        <v>13</v>
      </c>
      <c r="K134">
        <v>2</v>
      </c>
      <c r="L134">
        <v>7</v>
      </c>
      <c r="M134">
        <v>37074</v>
      </c>
      <c r="N134">
        <v>5440</v>
      </c>
      <c r="O134" s="12">
        <f>M134-N134</f>
        <v>31634</v>
      </c>
      <c r="P134">
        <v>510452</v>
      </c>
      <c r="Q134">
        <v>478818</v>
      </c>
      <c r="R134">
        <v>10776</v>
      </c>
      <c r="S134">
        <v>1600</v>
      </c>
      <c r="T134">
        <v>5040</v>
      </c>
      <c r="U134">
        <v>2640</v>
      </c>
      <c r="V134">
        <v>750</v>
      </c>
      <c r="W134">
        <v>2520</v>
      </c>
      <c r="X134">
        <v>1190</v>
      </c>
      <c r="Y134">
        <v>0</v>
      </c>
      <c r="Z134">
        <v>2325</v>
      </c>
      <c r="AA134">
        <v>7545</v>
      </c>
      <c r="AB134">
        <v>2688</v>
      </c>
      <c r="AC134">
        <v>0</v>
      </c>
      <c r="AD134">
        <v>0</v>
      </c>
      <c r="AE134">
        <v>0</v>
      </c>
      <c r="AF134">
        <v>4480</v>
      </c>
      <c r="AG134">
        <v>0</v>
      </c>
      <c r="AH134">
        <v>0</v>
      </c>
      <c r="AI134">
        <v>0</v>
      </c>
      <c r="AJ134">
        <v>960</v>
      </c>
      <c r="AK134">
        <v>0</v>
      </c>
      <c r="AL134" s="12">
        <f>R134+S134+W134+X134</f>
        <v>16086</v>
      </c>
      <c r="AM134" s="13">
        <f>IF(AL134&gt;0,AF134/AL134,0)</f>
        <v>0.278503046127067</v>
      </c>
      <c r="AN134" s="13">
        <f>IF(M134&gt;0,(AF134+AG134+AJ134+AK134)/M134,0)</f>
        <v>0.1467335599072126</v>
      </c>
      <c r="AO134">
        <v>3236</v>
      </c>
      <c r="AP134">
        <v>7440</v>
      </c>
      <c r="AQ134">
        <v>0</v>
      </c>
      <c r="AR134">
        <v>0</v>
      </c>
      <c r="AS134">
        <v>97</v>
      </c>
      <c r="AT134">
        <v>92</v>
      </c>
      <c r="AU134">
        <v>14</v>
      </c>
      <c r="AV134">
        <v>5</v>
      </c>
      <c r="AW134">
        <v>13</v>
      </c>
      <c r="AX134">
        <v>18</v>
      </c>
      <c r="AY134">
        <v>221</v>
      </c>
      <c r="AZ134">
        <v>0</v>
      </c>
      <c r="BA134">
        <v>2304</v>
      </c>
      <c r="BB134">
        <v>17</v>
      </c>
      <c r="BC134">
        <v>19</v>
      </c>
      <c r="BD134">
        <v>0</v>
      </c>
      <c r="BE134">
        <v>27</v>
      </c>
      <c r="BF134">
        <v>30</v>
      </c>
    </row>
    <row r="135" spans="1:58">
      <c r="A135" t="s">
        <v>735</v>
      </c>
      <c r="B135">
        <v>24</v>
      </c>
      <c r="C135">
        <v>1</v>
      </c>
      <c r="D135" t="s">
        <v>731</v>
      </c>
      <c r="E135">
        <v>3</v>
      </c>
      <c r="F135" t="s">
        <v>722</v>
      </c>
      <c r="G135">
        <v>151</v>
      </c>
      <c r="H135">
        <v>158</v>
      </c>
      <c r="I135">
        <v>22</v>
      </c>
      <c r="J135">
        <v>12</v>
      </c>
      <c r="K135">
        <v>4</v>
      </c>
      <c r="L135">
        <v>6</v>
      </c>
      <c r="M135">
        <v>32852</v>
      </c>
      <c r="N135">
        <v>6400</v>
      </c>
      <c r="O135" s="12">
        <f>M135-N135</f>
        <v>26452</v>
      </c>
      <c r="P135">
        <v>536904</v>
      </c>
      <c r="Q135">
        <v>510452</v>
      </c>
      <c r="R135">
        <v>10750</v>
      </c>
      <c r="S135">
        <v>1920</v>
      </c>
      <c r="T135">
        <v>5650</v>
      </c>
      <c r="U135">
        <v>350</v>
      </c>
      <c r="V135">
        <v>400</v>
      </c>
      <c r="W135">
        <v>2520</v>
      </c>
      <c r="X135">
        <v>1190</v>
      </c>
      <c r="Y135">
        <v>0</v>
      </c>
      <c r="Z135">
        <v>1250</v>
      </c>
      <c r="AA135">
        <v>6470</v>
      </c>
      <c r="AB135">
        <v>2352</v>
      </c>
      <c r="AC135">
        <v>0</v>
      </c>
      <c r="AD135">
        <v>0</v>
      </c>
      <c r="AE135">
        <v>0</v>
      </c>
      <c r="AF135">
        <v>4480</v>
      </c>
      <c r="AG135">
        <v>0</v>
      </c>
      <c r="AH135">
        <v>0</v>
      </c>
      <c r="AI135">
        <v>0</v>
      </c>
      <c r="AJ135">
        <v>1920</v>
      </c>
      <c r="AK135">
        <v>0</v>
      </c>
      <c r="AL135" s="12">
        <f>R135+S135+W135+X135</f>
        <v>16380</v>
      </c>
      <c r="AM135" s="13">
        <f>IF(AL135&gt;0,AF135/AL135,0)</f>
        <v>0.27350427350427353</v>
      </c>
      <c r="AN135" s="13">
        <f>IF(M135&gt;0,(AF135+AG135+AJ135+AK135)/M135,0)</f>
        <v>0.19481310118105444</v>
      </c>
      <c r="AO135">
        <v>4301</v>
      </c>
      <c r="AP135">
        <v>7390</v>
      </c>
      <c r="AQ135">
        <v>0</v>
      </c>
      <c r="AR135">
        <v>0</v>
      </c>
      <c r="AS135">
        <v>97</v>
      </c>
      <c r="AT135">
        <v>92</v>
      </c>
      <c r="AU135">
        <v>19</v>
      </c>
      <c r="AV135">
        <v>5</v>
      </c>
      <c r="AW135">
        <v>13</v>
      </c>
      <c r="AX135">
        <v>18</v>
      </c>
      <c r="AY135">
        <v>209</v>
      </c>
      <c r="AZ135">
        <v>0</v>
      </c>
      <c r="BA135">
        <v>2513</v>
      </c>
      <c r="BB135">
        <v>13</v>
      </c>
      <c r="BC135">
        <v>13</v>
      </c>
      <c r="BD135">
        <v>5</v>
      </c>
      <c r="BE135">
        <v>15</v>
      </c>
      <c r="BF135">
        <v>30</v>
      </c>
    </row>
    <row r="136" spans="1:58">
      <c r="A136" t="s">
        <v>735</v>
      </c>
      <c r="B136">
        <v>25</v>
      </c>
      <c r="C136">
        <v>1</v>
      </c>
      <c r="D136" t="s">
        <v>731</v>
      </c>
      <c r="E136">
        <v>8</v>
      </c>
      <c r="F136" t="s">
        <v>732</v>
      </c>
      <c r="G136">
        <v>158</v>
      </c>
      <c r="H136">
        <v>165</v>
      </c>
      <c r="I136">
        <v>20</v>
      </c>
      <c r="J136">
        <v>7</v>
      </c>
      <c r="K136">
        <v>4</v>
      </c>
      <c r="L136">
        <v>9</v>
      </c>
      <c r="M136">
        <v>24788</v>
      </c>
      <c r="N136">
        <v>6380</v>
      </c>
      <c r="O136" s="12">
        <f>M136-N136</f>
        <v>18408</v>
      </c>
      <c r="P136">
        <v>555312</v>
      </c>
      <c r="Q136">
        <v>536904</v>
      </c>
      <c r="R136">
        <v>6866</v>
      </c>
      <c r="S136">
        <v>1600</v>
      </c>
      <c r="T136">
        <v>3350</v>
      </c>
      <c r="U136">
        <v>0</v>
      </c>
      <c r="V136">
        <v>670</v>
      </c>
      <c r="W136">
        <v>2520</v>
      </c>
      <c r="X136">
        <v>1190</v>
      </c>
      <c r="Y136">
        <v>0</v>
      </c>
      <c r="Z136">
        <v>1400</v>
      </c>
      <c r="AA136">
        <v>4840</v>
      </c>
      <c r="AB136">
        <v>2352</v>
      </c>
      <c r="AC136">
        <v>0</v>
      </c>
      <c r="AD136">
        <v>0</v>
      </c>
      <c r="AE136">
        <v>0</v>
      </c>
      <c r="AF136">
        <v>4480</v>
      </c>
      <c r="AG136">
        <v>0</v>
      </c>
      <c r="AH136">
        <v>0</v>
      </c>
      <c r="AI136">
        <v>0</v>
      </c>
      <c r="AJ136">
        <v>1900</v>
      </c>
      <c r="AK136">
        <v>0</v>
      </c>
      <c r="AL136" s="12">
        <f>R136+S136+W136+X136</f>
        <v>12176</v>
      </c>
      <c r="AM136" s="13">
        <f>IF(AL136&gt;0,AF136/AL136,0)</f>
        <v>0.3679369250985545</v>
      </c>
      <c r="AN136" s="13">
        <f>IF(M136&gt;0,(AF136+AG136+AJ136+AK136)/M136,0)</f>
        <v>0.2573826044860416</v>
      </c>
      <c r="AO136">
        <v>4770</v>
      </c>
      <c r="AP136">
        <v>7390</v>
      </c>
      <c r="AQ136">
        <v>0</v>
      </c>
      <c r="AR136">
        <v>0</v>
      </c>
      <c r="AS136">
        <v>97</v>
      </c>
      <c r="AT136">
        <v>92</v>
      </c>
      <c r="AU136">
        <v>21</v>
      </c>
      <c r="AV136">
        <v>5</v>
      </c>
      <c r="AW136">
        <v>13</v>
      </c>
      <c r="AX136">
        <v>18</v>
      </c>
      <c r="AY136">
        <v>128</v>
      </c>
      <c r="AZ136">
        <v>0</v>
      </c>
      <c r="BA136">
        <v>2641</v>
      </c>
      <c r="BB136">
        <v>10</v>
      </c>
      <c r="BC136">
        <v>10</v>
      </c>
      <c r="BD136">
        <v>2</v>
      </c>
      <c r="BE136">
        <v>15</v>
      </c>
      <c r="BF136">
        <v>30</v>
      </c>
    </row>
    <row r="137" spans="1:58">
      <c r="A137" t="s">
        <v>735</v>
      </c>
      <c r="B137">
        <v>26</v>
      </c>
      <c r="C137">
        <v>2</v>
      </c>
      <c r="D137" t="s">
        <v>730</v>
      </c>
      <c r="E137">
        <v>2</v>
      </c>
      <c r="F137" t="s">
        <v>723</v>
      </c>
      <c r="G137">
        <v>165</v>
      </c>
      <c r="H137">
        <v>170</v>
      </c>
      <c r="I137">
        <v>16</v>
      </c>
      <c r="J137">
        <v>8</v>
      </c>
      <c r="K137">
        <v>2</v>
      </c>
      <c r="L137">
        <v>6</v>
      </c>
      <c r="M137">
        <v>20885</v>
      </c>
      <c r="N137">
        <v>6400</v>
      </c>
      <c r="O137" s="12">
        <f>M137-N137</f>
        <v>14485</v>
      </c>
      <c r="P137">
        <v>569797</v>
      </c>
      <c r="Q137">
        <v>555312</v>
      </c>
      <c r="R137">
        <v>6320</v>
      </c>
      <c r="S137">
        <v>1120</v>
      </c>
      <c r="T137">
        <v>0</v>
      </c>
      <c r="U137">
        <v>1960</v>
      </c>
      <c r="V137">
        <v>240</v>
      </c>
      <c r="W137">
        <v>2320</v>
      </c>
      <c r="X137">
        <v>1190</v>
      </c>
      <c r="Y137">
        <v>0</v>
      </c>
      <c r="Z137">
        <v>1125</v>
      </c>
      <c r="AA137">
        <v>4930</v>
      </c>
      <c r="AB137">
        <v>1680</v>
      </c>
      <c r="AC137">
        <v>0</v>
      </c>
      <c r="AD137">
        <v>0</v>
      </c>
      <c r="AE137">
        <v>0</v>
      </c>
      <c r="AF137">
        <v>4480</v>
      </c>
      <c r="AG137">
        <v>0</v>
      </c>
      <c r="AH137">
        <v>0</v>
      </c>
      <c r="AI137">
        <v>0</v>
      </c>
      <c r="AJ137">
        <v>1920</v>
      </c>
      <c r="AK137">
        <v>0</v>
      </c>
      <c r="AL137" s="12">
        <f>R137+S137+W137+X137</f>
        <v>10950</v>
      </c>
      <c r="AM137" s="13">
        <f>IF(AL137&gt;0,AF137/AL137,0)</f>
        <v>0.4091324200913242</v>
      </c>
      <c r="AN137" s="13">
        <f>IF(M137&gt;0,(AF137+AG137+AJ137+AK137)/M137,0)</f>
        <v>0.3064400287287527</v>
      </c>
      <c r="AO137">
        <v>4998</v>
      </c>
      <c r="AP137">
        <v>5960</v>
      </c>
      <c r="AQ137">
        <v>0</v>
      </c>
      <c r="AR137">
        <v>0</v>
      </c>
      <c r="AS137">
        <v>97</v>
      </c>
      <c r="AT137">
        <v>84</v>
      </c>
      <c r="AU137">
        <v>22</v>
      </c>
      <c r="AV137">
        <v>5</v>
      </c>
      <c r="AW137">
        <v>13</v>
      </c>
      <c r="AX137">
        <v>18</v>
      </c>
      <c r="AY137">
        <v>92</v>
      </c>
      <c r="AZ137">
        <v>0</v>
      </c>
      <c r="BA137">
        <v>2733</v>
      </c>
      <c r="BB137">
        <v>9</v>
      </c>
      <c r="BC137">
        <v>9</v>
      </c>
      <c r="BD137">
        <v>2</v>
      </c>
      <c r="BE137">
        <v>12</v>
      </c>
      <c r="BF137">
        <v>31</v>
      </c>
    </row>
    <row r="138" spans="1:58">
      <c r="A138" t="s">
        <v>735</v>
      </c>
      <c r="B138">
        <v>27</v>
      </c>
      <c r="C138">
        <v>1</v>
      </c>
      <c r="D138" t="s">
        <v>731</v>
      </c>
      <c r="E138">
        <v>2</v>
      </c>
      <c r="F138" t="s">
        <v>722</v>
      </c>
      <c r="G138">
        <v>170</v>
      </c>
      <c r="H138">
        <v>177</v>
      </c>
      <c r="I138">
        <v>21</v>
      </c>
      <c r="J138">
        <v>11</v>
      </c>
      <c r="K138">
        <v>4</v>
      </c>
      <c r="L138">
        <v>6</v>
      </c>
      <c r="M138">
        <v>27610</v>
      </c>
      <c r="N138">
        <v>5440</v>
      </c>
      <c r="O138" s="12">
        <f>M138-N138</f>
        <v>22170</v>
      </c>
      <c r="P138">
        <v>591967</v>
      </c>
      <c r="Q138">
        <v>569797</v>
      </c>
      <c r="R138">
        <v>9478</v>
      </c>
      <c r="S138">
        <v>1600</v>
      </c>
      <c r="T138">
        <v>570</v>
      </c>
      <c r="U138">
        <v>2270</v>
      </c>
      <c r="V138">
        <v>0</v>
      </c>
      <c r="W138">
        <v>2440</v>
      </c>
      <c r="X138">
        <v>1190</v>
      </c>
      <c r="Y138">
        <v>0</v>
      </c>
      <c r="Z138">
        <v>1675</v>
      </c>
      <c r="AA138">
        <v>6035</v>
      </c>
      <c r="AB138">
        <v>2352</v>
      </c>
      <c r="AC138">
        <v>0</v>
      </c>
      <c r="AD138">
        <v>0</v>
      </c>
      <c r="AE138">
        <v>0</v>
      </c>
      <c r="AF138">
        <v>4480</v>
      </c>
      <c r="AG138">
        <v>0</v>
      </c>
      <c r="AH138">
        <v>0</v>
      </c>
      <c r="AI138">
        <v>0</v>
      </c>
      <c r="AJ138">
        <v>960</v>
      </c>
      <c r="AK138">
        <v>0</v>
      </c>
      <c r="AL138" s="12">
        <f>R138+S138+W138+X138</f>
        <v>14708</v>
      </c>
      <c r="AM138" s="13">
        <f>IF(AL138&gt;0,AF138/AL138,0)</f>
        <v>0.30459613815610553</v>
      </c>
      <c r="AN138" s="13">
        <f>IF(M138&gt;0,(AF138+AG138+AJ138+AK138)/M138,0)</f>
        <v>0.19703006157189423</v>
      </c>
      <c r="AO138">
        <v>4763</v>
      </c>
      <c r="AP138">
        <v>7030</v>
      </c>
      <c r="AQ138">
        <v>0</v>
      </c>
      <c r="AR138">
        <v>0</v>
      </c>
      <c r="AS138">
        <v>97</v>
      </c>
      <c r="AT138">
        <v>92</v>
      </c>
      <c r="AU138">
        <v>21</v>
      </c>
      <c r="AV138">
        <v>5</v>
      </c>
      <c r="AW138">
        <v>13</v>
      </c>
      <c r="AX138">
        <v>18</v>
      </c>
      <c r="AY138">
        <v>78</v>
      </c>
      <c r="AZ138">
        <v>0</v>
      </c>
      <c r="BA138">
        <v>2811</v>
      </c>
      <c r="BB138">
        <v>11</v>
      </c>
      <c r="BC138">
        <v>10</v>
      </c>
      <c r="BD138">
        <v>0</v>
      </c>
      <c r="BE138">
        <v>17</v>
      </c>
      <c r="BF138">
        <v>31</v>
      </c>
    </row>
    <row r="140" spans="1:58">
      <c r="A140" s="3" t="s">
        <v>736</v>
      </c>
      <c r="B140" s="3"/>
      <c r="C140" s="3"/>
      <c r="D140" s="3"/>
      <c r="E140" s="3"/>
      <c r="F140" s="3"/>
      <c r="G140" s="3"/>
      <c r="H140" s="3"/>
      <c r="I140" s="3"/>
      <c r="J140" s="3"/>
      <c r="K140" s="3"/>
      <c r="L140" s="3"/>
      <c r="M140" s="3"/>
    </row>
    <row r="141" spans="1:58">
      <c r="A141" s="3"/>
      <c r="B141" s="3"/>
      <c r="C141" s="3"/>
      <c r="D141" s="3"/>
      <c r="E141" s="3"/>
      <c r="F141" s="3"/>
      <c r="G141" s="3"/>
      <c r="H141" s="3"/>
      <c r="I141" s="3"/>
      <c r="J141" s="3"/>
      <c r="K141" s="3"/>
      <c r="L141" s="3"/>
      <c r="M141" s="3"/>
    </row>
    <row r="142" spans="1:58">
      <c r="A142" s="3"/>
      <c r="B142" s="3"/>
      <c r="C142" s="3"/>
      <c r="D142" s="3"/>
      <c r="E142" s="3"/>
      <c r="F142" s="3"/>
      <c r="G142" s="3"/>
      <c r="H142" s="3"/>
      <c r="I142" s="3"/>
      <c r="J142" s="3"/>
      <c r="K142" s="3"/>
      <c r="L142" s="3"/>
      <c r="M142" s="3"/>
    </row>
    <row r="143" spans="1:58">
      <c r="A143" s="3"/>
      <c r="B143" s="3"/>
      <c r="C143" s="3"/>
      <c r="D143" s="3"/>
      <c r="E143" s="3"/>
      <c r="F143" s="3"/>
      <c r="G143" s="3"/>
      <c r="H143" s="3"/>
      <c r="I143" s="3"/>
      <c r="J143" s="3"/>
      <c r="K143" s="3"/>
      <c r="L143" s="3"/>
      <c r="M143" s="3"/>
    </row>
    <row r="144" spans="1:58">
      <c r="A144" s="3"/>
      <c r="B144" s="3"/>
      <c r="C144" s="3"/>
      <c r="D144" s="3"/>
      <c r="E144" s="3"/>
      <c r="F144" s="3"/>
      <c r="G144" s="3"/>
      <c r="H144" s="3"/>
      <c r="I144" s="3"/>
      <c r="J144" s="3"/>
      <c r="K144" s="3"/>
      <c r="L144" s="3"/>
      <c r="M144" s="3"/>
    </row>
    <row r="145" spans="1:13">
      <c r="A145" s="3"/>
      <c r="B145" s="3"/>
      <c r="C145" s="3"/>
      <c r="D145" s="3"/>
      <c r="E145" s="3"/>
      <c r="F145" s="3"/>
      <c r="G145" s="3"/>
      <c r="H145" s="3"/>
      <c r="I145" s="3"/>
      <c r="J145" s="3"/>
      <c r="K145" s="3"/>
      <c r="L145" s="3"/>
      <c r="M145" s="3"/>
    </row>
    <row r="146" spans="1:13">
      <c r="A146" s="3"/>
      <c r="B146" s="3"/>
      <c r="C146" s="3"/>
      <c r="D146" s="3"/>
      <c r="E146" s="3"/>
      <c r="F146" s="3"/>
      <c r="G146" s="3"/>
      <c r="H146" s="3"/>
      <c r="I146" s="3"/>
      <c r="J146" s="3"/>
      <c r="K146" s="3"/>
      <c r="L146" s="3"/>
      <c r="M146" s="3"/>
    </row>
  </sheetData>
  <autoFilter ref="A1:BF138"/>
  <mergeCells count="1">
    <mergeCell ref="A140:M14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P1053"/>
  <sheetViews>
    <sheetView workbookViewId="0"/>
  </sheetViews>
  <sheetFormatPr defaultRowHeight="15"/>
  <cols>
    <col min="1" max="1" width="44.7109375" customWidth="1"/>
    <col min="2" max="2" width="46.7109375" customWidth="1"/>
    <col min="3" max="16" width="16.7109375" customWidth="1"/>
  </cols>
  <sheetData>
    <row r="1" spans="1:12">
      <c r="A1" s="4" t="s">
        <v>737</v>
      </c>
    </row>
    <row r="2" spans="1:12" ht="32" customHeight="1">
      <c r="A2" s="5" t="s">
        <v>20</v>
      </c>
      <c r="B2" s="5"/>
      <c r="C2" s="5" t="s">
        <v>738</v>
      </c>
      <c r="D2" s="5" t="s">
        <v>739</v>
      </c>
      <c r="E2" s="5" t="s">
        <v>740</v>
      </c>
      <c r="F2" s="5" t="s">
        <v>741</v>
      </c>
      <c r="G2" s="5" t="s">
        <v>742</v>
      </c>
      <c r="H2" s="5" t="s">
        <v>678</v>
      </c>
      <c r="I2" s="5" t="s">
        <v>743</v>
      </c>
      <c r="J2" s="5" t="s">
        <v>744</v>
      </c>
      <c r="K2" s="5" t="s">
        <v>745</v>
      </c>
      <c r="L2" s="5" t="s">
        <v>746</v>
      </c>
    </row>
    <row r="3" spans="1:12">
      <c r="A3" t="s">
        <v>720</v>
      </c>
      <c r="C3">
        <v>180</v>
      </c>
      <c r="D3">
        <v>9</v>
      </c>
      <c r="E3">
        <v>2</v>
      </c>
      <c r="F3">
        <v>252631</v>
      </c>
      <c r="G3">
        <v>89512</v>
      </c>
      <c r="H3">
        <v>163119</v>
      </c>
      <c r="I3">
        <v>1646</v>
      </c>
      <c r="J3">
        <v>1300</v>
      </c>
      <c r="K3" t="s">
        <v>637</v>
      </c>
      <c r="L3">
        <v>414</v>
      </c>
    </row>
    <row r="4" spans="1:12">
      <c r="A4" t="s">
        <v>729</v>
      </c>
      <c r="C4">
        <v>180</v>
      </c>
      <c r="D4">
        <v>27</v>
      </c>
      <c r="E4">
        <v>1</v>
      </c>
      <c r="F4">
        <v>853044</v>
      </c>
      <c r="G4">
        <v>214962</v>
      </c>
      <c r="H4">
        <v>638082</v>
      </c>
      <c r="I4">
        <v>4569</v>
      </c>
      <c r="J4">
        <v>2300</v>
      </c>
      <c r="K4">
        <v>57</v>
      </c>
      <c r="L4">
        <v>671</v>
      </c>
    </row>
    <row r="5" spans="1:12">
      <c r="A5" t="s">
        <v>733</v>
      </c>
      <c r="C5">
        <v>180</v>
      </c>
      <c r="D5">
        <v>48</v>
      </c>
      <c r="E5">
        <v>1</v>
      </c>
      <c r="F5">
        <v>2730037</v>
      </c>
      <c r="G5">
        <v>377248</v>
      </c>
      <c r="H5">
        <v>2352789</v>
      </c>
      <c r="I5">
        <v>11582</v>
      </c>
      <c r="J5">
        <v>2300</v>
      </c>
      <c r="K5">
        <v>25</v>
      </c>
      <c r="L5">
        <v>816</v>
      </c>
    </row>
    <row r="6" spans="1:12">
      <c r="A6" t="s">
        <v>734</v>
      </c>
      <c r="C6">
        <v>180</v>
      </c>
      <c r="D6">
        <v>26</v>
      </c>
      <c r="E6">
        <v>1</v>
      </c>
      <c r="F6">
        <v>1299805</v>
      </c>
      <c r="G6">
        <v>204552</v>
      </c>
      <c r="H6">
        <v>1095253</v>
      </c>
      <c r="I6">
        <v>5907</v>
      </c>
      <c r="J6">
        <v>2300</v>
      </c>
      <c r="K6">
        <v>39</v>
      </c>
      <c r="L6">
        <v>709</v>
      </c>
    </row>
    <row r="7" spans="1:12">
      <c r="A7" t="s">
        <v>735</v>
      </c>
      <c r="C7">
        <v>180</v>
      </c>
      <c r="D7">
        <v>27</v>
      </c>
      <c r="E7">
        <v>1</v>
      </c>
      <c r="F7">
        <v>878158</v>
      </c>
      <c r="G7">
        <v>273974</v>
      </c>
      <c r="H7">
        <v>604184</v>
      </c>
      <c r="I7">
        <v>5147</v>
      </c>
      <c r="J7">
        <v>2300</v>
      </c>
      <c r="K7">
        <v>66</v>
      </c>
      <c r="L7">
        <v>672</v>
      </c>
    </row>
    <row r="9" spans="1:12">
      <c r="A9" s="4" t="s">
        <v>747</v>
      </c>
    </row>
    <row r="10" spans="1:12" ht="32" customHeight="1">
      <c r="A10" s="5" t="s">
        <v>20</v>
      </c>
      <c r="B10" s="5" t="s">
        <v>748</v>
      </c>
      <c r="C10" s="5" t="s">
        <v>749</v>
      </c>
      <c r="D10" s="5" t="s">
        <v>750</v>
      </c>
    </row>
    <row r="11" spans="1:12">
      <c r="A11" t="s">
        <v>720</v>
      </c>
      <c r="B11" t="s">
        <v>751</v>
      </c>
      <c r="C11">
        <v>2</v>
      </c>
      <c r="D11">
        <v>38</v>
      </c>
    </row>
    <row r="12" spans="1:12">
      <c r="A12" t="s">
        <v>720</v>
      </c>
      <c r="B12" t="s">
        <v>752</v>
      </c>
      <c r="C12">
        <v>3</v>
      </c>
      <c r="D12">
        <v>57</v>
      </c>
    </row>
    <row r="13" spans="1:12">
      <c r="A13" t="s">
        <v>720</v>
      </c>
      <c r="B13" t="s">
        <v>753</v>
      </c>
      <c r="C13">
        <v>4</v>
      </c>
      <c r="D13">
        <v>78</v>
      </c>
    </row>
    <row r="14" spans="1:12">
      <c r="A14" t="s">
        <v>720</v>
      </c>
      <c r="B14" t="s">
        <v>754</v>
      </c>
      <c r="C14">
        <v>6</v>
      </c>
      <c r="D14">
        <v>115</v>
      </c>
    </row>
    <row r="15" spans="1:12">
      <c r="A15" t="s">
        <v>720</v>
      </c>
      <c r="B15" t="s">
        <v>755</v>
      </c>
      <c r="C15">
        <v>8</v>
      </c>
      <c r="D15">
        <v>155</v>
      </c>
    </row>
    <row r="16" spans="1:12">
      <c r="A16" t="s">
        <v>720</v>
      </c>
      <c r="B16" t="s">
        <v>756</v>
      </c>
      <c r="C16">
        <v>9</v>
      </c>
      <c r="D16">
        <v>174</v>
      </c>
    </row>
    <row r="17" spans="1:4">
      <c r="A17" t="s">
        <v>729</v>
      </c>
      <c r="B17" t="s">
        <v>751</v>
      </c>
      <c r="C17">
        <v>1</v>
      </c>
      <c r="D17">
        <v>6</v>
      </c>
    </row>
    <row r="18" spans="1:4">
      <c r="A18" t="s">
        <v>729</v>
      </c>
      <c r="B18" t="s">
        <v>752</v>
      </c>
      <c r="C18">
        <v>2</v>
      </c>
      <c r="D18">
        <v>11</v>
      </c>
    </row>
    <row r="19" spans="1:4">
      <c r="A19" t="s">
        <v>729</v>
      </c>
      <c r="B19" t="s">
        <v>753</v>
      </c>
      <c r="C19">
        <v>3</v>
      </c>
      <c r="D19">
        <v>17</v>
      </c>
    </row>
    <row r="20" spans="1:4">
      <c r="A20" t="s">
        <v>729</v>
      </c>
      <c r="B20" t="s">
        <v>754</v>
      </c>
      <c r="C20">
        <v>4</v>
      </c>
      <c r="D20">
        <v>23</v>
      </c>
    </row>
    <row r="21" spans="1:4">
      <c r="A21" t="s">
        <v>729</v>
      </c>
      <c r="B21" t="s">
        <v>755</v>
      </c>
      <c r="C21">
        <v>5</v>
      </c>
      <c r="D21">
        <v>28</v>
      </c>
    </row>
    <row r="22" spans="1:4">
      <c r="A22" t="s">
        <v>729</v>
      </c>
      <c r="B22" t="s">
        <v>756</v>
      </c>
      <c r="C22">
        <v>6</v>
      </c>
      <c r="D22">
        <v>34</v>
      </c>
    </row>
    <row r="23" spans="1:4">
      <c r="A23" t="s">
        <v>729</v>
      </c>
      <c r="B23" t="s">
        <v>757</v>
      </c>
      <c r="C23">
        <v>8</v>
      </c>
      <c r="D23">
        <v>45</v>
      </c>
    </row>
    <row r="24" spans="1:4">
      <c r="A24" t="s">
        <v>729</v>
      </c>
      <c r="B24" t="s">
        <v>757</v>
      </c>
      <c r="C24">
        <v>23</v>
      </c>
      <c r="D24">
        <v>149</v>
      </c>
    </row>
    <row r="25" spans="1:4">
      <c r="A25" t="s">
        <v>733</v>
      </c>
      <c r="B25" t="s">
        <v>751</v>
      </c>
      <c r="C25">
        <v>1</v>
      </c>
      <c r="D25">
        <v>3</v>
      </c>
    </row>
    <row r="26" spans="1:4">
      <c r="A26" t="s">
        <v>733</v>
      </c>
      <c r="B26" t="s">
        <v>752</v>
      </c>
      <c r="C26">
        <v>2</v>
      </c>
      <c r="D26">
        <v>6</v>
      </c>
    </row>
    <row r="27" spans="1:4">
      <c r="A27" t="s">
        <v>733</v>
      </c>
      <c r="B27" t="s">
        <v>753</v>
      </c>
      <c r="C27">
        <v>3</v>
      </c>
      <c r="D27">
        <v>9</v>
      </c>
    </row>
    <row r="28" spans="1:4">
      <c r="A28" t="s">
        <v>733</v>
      </c>
      <c r="B28" t="s">
        <v>754</v>
      </c>
      <c r="C28">
        <v>4</v>
      </c>
      <c r="D28">
        <v>12</v>
      </c>
    </row>
    <row r="29" spans="1:4">
      <c r="A29" t="s">
        <v>733</v>
      </c>
      <c r="B29" t="s">
        <v>755</v>
      </c>
      <c r="C29">
        <v>5</v>
      </c>
      <c r="D29">
        <v>15</v>
      </c>
    </row>
    <row r="30" spans="1:4">
      <c r="A30" t="s">
        <v>733</v>
      </c>
      <c r="B30" t="s">
        <v>756</v>
      </c>
      <c r="C30">
        <v>6</v>
      </c>
      <c r="D30">
        <v>18</v>
      </c>
    </row>
    <row r="31" spans="1:4">
      <c r="A31" t="s">
        <v>733</v>
      </c>
      <c r="B31" t="s">
        <v>757</v>
      </c>
      <c r="C31">
        <v>7</v>
      </c>
      <c r="D31">
        <v>20</v>
      </c>
    </row>
    <row r="32" spans="1:4">
      <c r="A32" t="s">
        <v>734</v>
      </c>
      <c r="B32" t="s">
        <v>751</v>
      </c>
      <c r="C32">
        <v>1</v>
      </c>
      <c r="D32">
        <v>6</v>
      </c>
    </row>
    <row r="33" spans="1:4">
      <c r="A33" t="s">
        <v>734</v>
      </c>
      <c r="B33" t="s">
        <v>752</v>
      </c>
      <c r="C33">
        <v>2</v>
      </c>
      <c r="D33">
        <v>11</v>
      </c>
    </row>
    <row r="34" spans="1:4">
      <c r="A34" t="s">
        <v>734</v>
      </c>
      <c r="B34" t="s">
        <v>753</v>
      </c>
      <c r="C34">
        <v>3</v>
      </c>
      <c r="D34">
        <v>17</v>
      </c>
    </row>
    <row r="35" spans="1:4">
      <c r="A35" t="s">
        <v>734</v>
      </c>
      <c r="B35" t="s">
        <v>754</v>
      </c>
      <c r="C35">
        <v>4</v>
      </c>
      <c r="D35">
        <v>23</v>
      </c>
    </row>
    <row r="36" spans="1:4">
      <c r="A36" t="s">
        <v>734</v>
      </c>
      <c r="B36" t="s">
        <v>755</v>
      </c>
      <c r="C36">
        <v>5</v>
      </c>
      <c r="D36">
        <v>28</v>
      </c>
    </row>
    <row r="37" spans="1:4">
      <c r="A37" t="s">
        <v>734</v>
      </c>
      <c r="B37" t="s">
        <v>756</v>
      </c>
      <c r="C37">
        <v>6</v>
      </c>
      <c r="D37">
        <v>34</v>
      </c>
    </row>
    <row r="38" spans="1:4">
      <c r="A38" t="s">
        <v>734</v>
      </c>
      <c r="B38" t="s">
        <v>757</v>
      </c>
      <c r="C38">
        <v>7</v>
      </c>
      <c r="D38">
        <v>40</v>
      </c>
    </row>
    <row r="39" spans="1:4">
      <c r="A39" t="s">
        <v>735</v>
      </c>
      <c r="B39" t="s">
        <v>751</v>
      </c>
      <c r="C39">
        <v>2</v>
      </c>
      <c r="D39">
        <v>11</v>
      </c>
    </row>
    <row r="40" spans="1:4">
      <c r="A40" t="s">
        <v>735</v>
      </c>
      <c r="B40" t="s">
        <v>752</v>
      </c>
      <c r="C40">
        <v>3</v>
      </c>
      <c r="D40">
        <v>17</v>
      </c>
    </row>
    <row r="41" spans="1:4">
      <c r="A41" t="s">
        <v>735</v>
      </c>
      <c r="B41" t="s">
        <v>753</v>
      </c>
      <c r="C41">
        <v>4</v>
      </c>
      <c r="D41">
        <v>23</v>
      </c>
    </row>
    <row r="42" spans="1:4">
      <c r="A42" t="s">
        <v>735</v>
      </c>
      <c r="B42" t="s">
        <v>754</v>
      </c>
      <c r="C42">
        <v>5</v>
      </c>
      <c r="D42">
        <v>28</v>
      </c>
    </row>
    <row r="43" spans="1:4">
      <c r="A43" t="s">
        <v>735</v>
      </c>
      <c r="B43" t="s">
        <v>755</v>
      </c>
      <c r="C43">
        <v>6</v>
      </c>
      <c r="D43">
        <v>34</v>
      </c>
    </row>
    <row r="44" spans="1:4">
      <c r="A44" t="s">
        <v>735</v>
      </c>
      <c r="B44" t="s">
        <v>756</v>
      </c>
      <c r="C44">
        <v>7</v>
      </c>
      <c r="D44">
        <v>39</v>
      </c>
    </row>
    <row r="45" spans="1:4">
      <c r="A45" t="s">
        <v>735</v>
      </c>
      <c r="B45" t="s">
        <v>757</v>
      </c>
      <c r="C45">
        <v>8</v>
      </c>
      <c r="D45">
        <v>44</v>
      </c>
    </row>
    <row r="46" spans="1:4">
      <c r="A46" t="s">
        <v>735</v>
      </c>
      <c r="B46" t="s">
        <v>757</v>
      </c>
      <c r="C46">
        <v>10</v>
      </c>
      <c r="D46">
        <v>58</v>
      </c>
    </row>
    <row r="47" spans="1:4">
      <c r="A47" t="s">
        <v>735</v>
      </c>
      <c r="B47" t="s">
        <v>757</v>
      </c>
      <c r="C47">
        <v>26</v>
      </c>
      <c r="D47">
        <v>170</v>
      </c>
    </row>
    <row r="49" spans="1:3">
      <c r="A49" s="4" t="s">
        <v>758</v>
      </c>
    </row>
    <row r="50" spans="1:3" ht="32" customHeight="1">
      <c r="A50" s="5" t="s">
        <v>20</v>
      </c>
      <c r="B50" s="5" t="s">
        <v>61</v>
      </c>
      <c r="C50" s="5" t="s">
        <v>21</v>
      </c>
    </row>
    <row r="51" spans="1:3">
      <c r="A51" t="s">
        <v>720</v>
      </c>
      <c r="B51" t="s">
        <v>759</v>
      </c>
      <c r="C51">
        <v>10</v>
      </c>
    </row>
    <row r="52" spans="1:3">
      <c r="A52" t="s">
        <v>720</v>
      </c>
      <c r="B52" t="s">
        <v>760</v>
      </c>
      <c r="C52">
        <v>45</v>
      </c>
    </row>
    <row r="53" spans="1:3">
      <c r="A53" t="s">
        <v>720</v>
      </c>
      <c r="B53" t="s">
        <v>761</v>
      </c>
      <c r="C53">
        <v>50</v>
      </c>
    </row>
    <row r="54" spans="1:3">
      <c r="A54" t="s">
        <v>720</v>
      </c>
      <c r="B54" t="s">
        <v>762</v>
      </c>
      <c r="C54" t="s">
        <v>637</v>
      </c>
    </row>
    <row r="55" spans="1:3">
      <c r="A55" t="s">
        <v>720</v>
      </c>
      <c r="B55" t="s">
        <v>646</v>
      </c>
      <c r="C55">
        <v>22</v>
      </c>
    </row>
    <row r="56" spans="1:3">
      <c r="A56" t="s">
        <v>720</v>
      </c>
      <c r="B56" t="s">
        <v>647</v>
      </c>
      <c r="C56">
        <v>87</v>
      </c>
    </row>
    <row r="57" spans="1:3">
      <c r="A57" t="s">
        <v>720</v>
      </c>
      <c r="B57" t="s">
        <v>763</v>
      </c>
      <c r="C57" t="s">
        <v>637</v>
      </c>
    </row>
    <row r="58" spans="1:3">
      <c r="A58" t="s">
        <v>729</v>
      </c>
      <c r="B58" t="s">
        <v>759</v>
      </c>
      <c r="C58">
        <v>4</v>
      </c>
    </row>
    <row r="59" spans="1:3">
      <c r="A59" t="s">
        <v>729</v>
      </c>
      <c r="B59" t="s">
        <v>760</v>
      </c>
      <c r="C59">
        <v>13</v>
      </c>
    </row>
    <row r="60" spans="1:3">
      <c r="A60" t="s">
        <v>729</v>
      </c>
      <c r="B60" t="s">
        <v>761</v>
      </c>
      <c r="C60">
        <v>15</v>
      </c>
    </row>
    <row r="61" spans="1:3">
      <c r="A61" t="s">
        <v>729</v>
      </c>
      <c r="B61" t="s">
        <v>762</v>
      </c>
      <c r="C61">
        <v>34</v>
      </c>
    </row>
    <row r="62" spans="1:3">
      <c r="A62" t="s">
        <v>729</v>
      </c>
      <c r="B62" t="s">
        <v>646</v>
      </c>
      <c r="C62">
        <v>5</v>
      </c>
    </row>
    <row r="63" spans="1:3">
      <c r="A63" t="s">
        <v>729</v>
      </c>
      <c r="B63" t="s">
        <v>647</v>
      </c>
      <c r="C63">
        <v>22</v>
      </c>
    </row>
    <row r="64" spans="1:3">
      <c r="A64" t="s">
        <v>729</v>
      </c>
      <c r="B64" t="s">
        <v>763</v>
      </c>
      <c r="C64">
        <v>66</v>
      </c>
    </row>
    <row r="65" spans="1:3">
      <c r="A65" t="s">
        <v>733</v>
      </c>
      <c r="B65" t="s">
        <v>759</v>
      </c>
      <c r="C65">
        <v>2</v>
      </c>
    </row>
    <row r="66" spans="1:3">
      <c r="A66" t="s">
        <v>733</v>
      </c>
      <c r="B66" t="s">
        <v>760</v>
      </c>
      <c r="C66">
        <v>7</v>
      </c>
    </row>
    <row r="67" spans="1:3">
      <c r="A67" t="s">
        <v>733</v>
      </c>
      <c r="B67" t="s">
        <v>761</v>
      </c>
      <c r="C67">
        <v>7</v>
      </c>
    </row>
    <row r="68" spans="1:3">
      <c r="A68" t="s">
        <v>733</v>
      </c>
      <c r="B68" t="s">
        <v>762</v>
      </c>
      <c r="C68">
        <v>15</v>
      </c>
    </row>
    <row r="69" spans="1:3">
      <c r="A69" t="s">
        <v>733</v>
      </c>
      <c r="B69" t="s">
        <v>646</v>
      </c>
      <c r="C69">
        <v>3</v>
      </c>
    </row>
    <row r="70" spans="1:3">
      <c r="A70" t="s">
        <v>733</v>
      </c>
      <c r="B70" t="s">
        <v>647</v>
      </c>
      <c r="C70">
        <v>9</v>
      </c>
    </row>
    <row r="71" spans="1:3">
      <c r="A71" t="s">
        <v>733</v>
      </c>
      <c r="B71" t="s">
        <v>763</v>
      </c>
      <c r="C71">
        <v>31</v>
      </c>
    </row>
    <row r="72" spans="1:3">
      <c r="A72" t="s">
        <v>734</v>
      </c>
      <c r="B72" t="s">
        <v>759</v>
      </c>
      <c r="C72">
        <v>3</v>
      </c>
    </row>
    <row r="73" spans="1:3">
      <c r="A73" t="s">
        <v>734</v>
      </c>
      <c r="B73" t="s">
        <v>760</v>
      </c>
      <c r="C73">
        <v>10</v>
      </c>
    </row>
    <row r="74" spans="1:3">
      <c r="A74" t="s">
        <v>734</v>
      </c>
      <c r="B74" t="s">
        <v>761</v>
      </c>
      <c r="C74">
        <v>11</v>
      </c>
    </row>
    <row r="75" spans="1:3">
      <c r="A75" t="s">
        <v>734</v>
      </c>
      <c r="B75" t="s">
        <v>762</v>
      </c>
      <c r="C75">
        <v>34</v>
      </c>
    </row>
    <row r="76" spans="1:3">
      <c r="A76" t="s">
        <v>734</v>
      </c>
      <c r="B76" t="s">
        <v>646</v>
      </c>
      <c r="C76">
        <v>5</v>
      </c>
    </row>
    <row r="77" spans="1:3">
      <c r="A77" t="s">
        <v>734</v>
      </c>
      <c r="B77" t="s">
        <v>647</v>
      </c>
      <c r="C77">
        <v>17</v>
      </c>
    </row>
    <row r="78" spans="1:3">
      <c r="A78" t="s">
        <v>734</v>
      </c>
      <c r="B78" t="s">
        <v>763</v>
      </c>
      <c r="C78">
        <v>63</v>
      </c>
    </row>
    <row r="79" spans="1:3">
      <c r="A79" t="s">
        <v>735</v>
      </c>
      <c r="B79" t="s">
        <v>759</v>
      </c>
      <c r="C79">
        <v>3</v>
      </c>
    </row>
    <row r="80" spans="1:3">
      <c r="A80" t="s">
        <v>735</v>
      </c>
      <c r="B80" t="s">
        <v>760</v>
      </c>
      <c r="C80">
        <v>26</v>
      </c>
    </row>
    <row r="81" spans="1:6">
      <c r="A81" t="s">
        <v>735</v>
      </c>
      <c r="B81" t="s">
        <v>761</v>
      </c>
      <c r="C81">
        <v>28</v>
      </c>
    </row>
    <row r="82" spans="1:6">
      <c r="A82" t="s">
        <v>735</v>
      </c>
      <c r="B82" t="s">
        <v>762</v>
      </c>
      <c r="C82">
        <v>25</v>
      </c>
    </row>
    <row r="83" spans="1:6">
      <c r="A83" t="s">
        <v>735</v>
      </c>
      <c r="B83" t="s">
        <v>646</v>
      </c>
      <c r="C83">
        <v>6</v>
      </c>
    </row>
    <row r="84" spans="1:6">
      <c r="A84" t="s">
        <v>735</v>
      </c>
      <c r="B84" t="s">
        <v>647</v>
      </c>
      <c r="C84">
        <v>21</v>
      </c>
    </row>
    <row r="85" spans="1:6">
      <c r="A85" t="s">
        <v>735</v>
      </c>
      <c r="B85" t="s">
        <v>763</v>
      </c>
      <c r="C85">
        <v>58</v>
      </c>
    </row>
    <row r="87" spans="1:6">
      <c r="A87" s="4" t="s">
        <v>764</v>
      </c>
    </row>
    <row r="88" spans="1:6" ht="32" customHeight="1">
      <c r="A88" s="5" t="s">
        <v>765</v>
      </c>
      <c r="B88" s="5"/>
      <c r="C88" s="5" t="s">
        <v>39</v>
      </c>
      <c r="D88" s="5" t="s">
        <v>21</v>
      </c>
      <c r="E88" s="5" t="s">
        <v>766</v>
      </c>
      <c r="F88" s="5" t="s">
        <v>767</v>
      </c>
    </row>
    <row r="89" spans="1:6">
      <c r="A89" t="s">
        <v>124</v>
      </c>
      <c r="C89">
        <v>800</v>
      </c>
      <c r="D89">
        <v>1</v>
      </c>
      <c r="E89">
        <v>1</v>
      </c>
      <c r="F89">
        <v>1</v>
      </c>
    </row>
    <row r="90" spans="1:6">
      <c r="A90" t="s">
        <v>128</v>
      </c>
      <c r="C90">
        <v>1200</v>
      </c>
      <c r="D90">
        <v>3</v>
      </c>
      <c r="E90">
        <v>8</v>
      </c>
      <c r="F90">
        <v>7</v>
      </c>
    </row>
    <row r="91" spans="1:6">
      <c r="A91" t="s">
        <v>140</v>
      </c>
      <c r="C91">
        <v>1500</v>
      </c>
      <c r="D91">
        <v>3</v>
      </c>
      <c r="E91">
        <v>9</v>
      </c>
      <c r="F91">
        <v>1</v>
      </c>
    </row>
    <row r="92" spans="1:6">
      <c r="A92" t="s">
        <v>132</v>
      </c>
      <c r="C92">
        <v>1600</v>
      </c>
      <c r="D92">
        <v>4</v>
      </c>
      <c r="E92">
        <v>10</v>
      </c>
      <c r="F92">
        <v>1</v>
      </c>
    </row>
    <row r="93" spans="1:6">
      <c r="A93" t="s">
        <v>144</v>
      </c>
      <c r="C93">
        <v>1800</v>
      </c>
      <c r="D93">
        <v>5</v>
      </c>
      <c r="E93">
        <v>13</v>
      </c>
      <c r="F93">
        <v>3</v>
      </c>
    </row>
    <row r="94" spans="1:6">
      <c r="A94" t="s">
        <v>146</v>
      </c>
      <c r="C94">
        <v>2000</v>
      </c>
      <c r="D94">
        <v>5</v>
      </c>
      <c r="E94">
        <v>14</v>
      </c>
      <c r="F94">
        <v>1</v>
      </c>
    </row>
    <row r="95" spans="1:6">
      <c r="A95" t="s">
        <v>142</v>
      </c>
      <c r="C95">
        <v>2500</v>
      </c>
      <c r="D95">
        <v>6</v>
      </c>
      <c r="E95">
        <v>16</v>
      </c>
      <c r="F95">
        <v>2</v>
      </c>
    </row>
    <row r="96" spans="1:6">
      <c r="A96" t="s">
        <v>126</v>
      </c>
      <c r="C96">
        <v>3000</v>
      </c>
      <c r="D96">
        <v>8</v>
      </c>
      <c r="E96">
        <v>23</v>
      </c>
      <c r="F96">
        <v>7</v>
      </c>
    </row>
    <row r="97" spans="1:11">
      <c r="A97" t="s">
        <v>130</v>
      </c>
      <c r="C97">
        <v>1600</v>
      </c>
      <c r="D97">
        <v>9</v>
      </c>
      <c r="E97">
        <v>26</v>
      </c>
      <c r="F97">
        <v>3</v>
      </c>
    </row>
    <row r="98" spans="1:11">
      <c r="A98" t="s">
        <v>147</v>
      </c>
      <c r="C98">
        <v>3000</v>
      </c>
      <c r="D98">
        <v>10</v>
      </c>
      <c r="E98">
        <v>28</v>
      </c>
      <c r="F98">
        <v>2</v>
      </c>
    </row>
    <row r="99" spans="1:11">
      <c r="A99" t="s">
        <v>134</v>
      </c>
      <c r="C99">
        <v>3800</v>
      </c>
      <c r="D99">
        <v>11</v>
      </c>
      <c r="E99">
        <v>31</v>
      </c>
      <c r="F99">
        <v>3</v>
      </c>
    </row>
    <row r="100" spans="1:11">
      <c r="A100" t="s">
        <v>136</v>
      </c>
      <c r="C100">
        <v>3800</v>
      </c>
      <c r="D100">
        <v>12</v>
      </c>
      <c r="E100">
        <v>34</v>
      </c>
      <c r="F100">
        <v>3</v>
      </c>
    </row>
    <row r="101" spans="1:11">
      <c r="A101" t="s">
        <v>138</v>
      </c>
      <c r="C101">
        <v>9000</v>
      </c>
      <c r="D101">
        <v>14</v>
      </c>
      <c r="E101">
        <v>41</v>
      </c>
      <c r="F101">
        <v>7</v>
      </c>
    </row>
    <row r="103" spans="1:11">
      <c r="A103" s="4" t="s">
        <v>768</v>
      </c>
    </row>
    <row r="104" spans="1:11" ht="32" customHeight="1">
      <c r="A104" s="5" t="s">
        <v>20</v>
      </c>
      <c r="B104" s="5" t="s">
        <v>618</v>
      </c>
      <c r="C104" s="5" t="s">
        <v>769</v>
      </c>
      <c r="D104" s="5" t="s">
        <v>620</v>
      </c>
      <c r="E104" s="5" t="s">
        <v>770</v>
      </c>
      <c r="F104" s="5" t="s">
        <v>771</v>
      </c>
      <c r="G104" s="5" t="s">
        <v>772</v>
      </c>
      <c r="H104" s="5" t="s">
        <v>773</v>
      </c>
      <c r="I104" s="5" t="s">
        <v>774</v>
      </c>
      <c r="J104" s="5" t="s">
        <v>775</v>
      </c>
      <c r="K104" s="5" t="s">
        <v>776</v>
      </c>
    </row>
    <row r="105" spans="1:11">
      <c r="A105" t="s">
        <v>720</v>
      </c>
      <c r="B105" t="s">
        <v>624</v>
      </c>
      <c r="C105">
        <v>46</v>
      </c>
      <c r="D105">
        <v>380</v>
      </c>
      <c r="E105" s="13">
        <f>IF(D105&gt;0,C105/D105,0)</f>
        <v>0.12043658261196838</v>
      </c>
      <c r="F105">
        <v>149</v>
      </c>
      <c r="G105">
        <v>277</v>
      </c>
      <c r="H105" s="13">
        <f>IF(G105&gt;0,F105/G105,0)</f>
        <v>0.5369127516778524</v>
      </c>
      <c r="I105">
        <v>165</v>
      </c>
      <c r="J105">
        <v>0</v>
      </c>
      <c r="K105" s="8">
        <f>IF(I105&gt;0,J105/I105,0)</f>
        <v>0</v>
      </c>
    </row>
    <row r="106" spans="1:11">
      <c r="A106" t="s">
        <v>720</v>
      </c>
      <c r="B106" t="s">
        <v>625</v>
      </c>
      <c r="C106">
        <v>85</v>
      </c>
      <c r="D106">
        <v>941</v>
      </c>
      <c r="E106" s="13">
        <f>IF(D106&gt;0,C106/D106,0)</f>
        <v>0.09020749572531078</v>
      </c>
      <c r="F106">
        <v>227</v>
      </c>
      <c r="G106">
        <v>798</v>
      </c>
      <c r="H106" s="13">
        <f>IF(G106&gt;0,F106/G106,0)</f>
        <v>0.28498284220273434</v>
      </c>
      <c r="I106">
        <v>223</v>
      </c>
      <c r="J106">
        <v>0</v>
      </c>
      <c r="K106" s="8">
        <f>IF(I106&gt;0,J106/I106,0)</f>
        <v>0</v>
      </c>
    </row>
    <row r="107" spans="1:11">
      <c r="A107" t="s">
        <v>720</v>
      </c>
      <c r="B107" t="s">
        <v>626</v>
      </c>
      <c r="C107">
        <v>130</v>
      </c>
      <c r="D107">
        <v>1125</v>
      </c>
      <c r="E107" s="13">
        <f>IF(D107&gt;0,C107/D107,0)</f>
        <v>0.11556754033751648</v>
      </c>
      <c r="F107">
        <v>263</v>
      </c>
      <c r="G107">
        <v>992</v>
      </c>
      <c r="H107" s="13">
        <f>IF(G107&gt;0,F107/G107,0)</f>
        <v>0.2647271261317253</v>
      </c>
      <c r="I107">
        <v>320</v>
      </c>
      <c r="J107">
        <v>0</v>
      </c>
      <c r="K107" s="8">
        <f>IF(I107&gt;0,J107/I107,0)</f>
        <v>0</v>
      </c>
    </row>
    <row r="108" spans="1:11">
      <c r="A108" t="s">
        <v>720</v>
      </c>
      <c r="B108" t="s">
        <v>777</v>
      </c>
      <c r="C108">
        <v>142</v>
      </c>
      <c r="D108">
        <v>1528</v>
      </c>
      <c r="E108" s="13">
        <f>IF(D108&gt;0,C108/D108,0)</f>
        <v>0.09285683117336475</v>
      </c>
      <c r="F108">
        <v>274</v>
      </c>
      <c r="G108">
        <v>1396</v>
      </c>
      <c r="H108" s="13">
        <f>IF(G108&gt;0,F108/G108,0)</f>
        <v>0.19630290099672007</v>
      </c>
      <c r="I108">
        <v>527</v>
      </c>
      <c r="J108">
        <v>0</v>
      </c>
      <c r="K108" s="8">
        <f>IF(I108&gt;0,J108/I108,0)</f>
        <v>0</v>
      </c>
    </row>
    <row r="109" spans="1:11">
      <c r="A109" t="s">
        <v>729</v>
      </c>
      <c r="B109" t="s">
        <v>624</v>
      </c>
      <c r="C109">
        <v>157</v>
      </c>
      <c r="D109">
        <v>2752</v>
      </c>
      <c r="E109" s="13">
        <f>IF(D109&gt;0,C109/D109,0)</f>
        <v>0.05690254919266913</v>
      </c>
      <c r="F109">
        <v>542</v>
      </c>
      <c r="G109">
        <v>2366</v>
      </c>
      <c r="H109" s="13">
        <f>IF(G109&gt;0,F109/G109,0)</f>
        <v>0.22921321176257473</v>
      </c>
      <c r="I109">
        <v>211</v>
      </c>
      <c r="J109">
        <v>0</v>
      </c>
      <c r="K109" s="8">
        <f>IF(I109&gt;0,J109/I109,0)</f>
        <v>0</v>
      </c>
    </row>
    <row r="110" spans="1:11">
      <c r="A110" t="s">
        <v>729</v>
      </c>
      <c r="B110" t="s">
        <v>625</v>
      </c>
      <c r="C110">
        <v>310</v>
      </c>
      <c r="D110">
        <v>4736</v>
      </c>
      <c r="E110" s="13">
        <f>IF(D110&gt;0,C110/D110,0)</f>
        <v>0.06543111282460827</v>
      </c>
      <c r="F110">
        <v>686</v>
      </c>
      <c r="G110">
        <v>4361</v>
      </c>
      <c r="H110" s="13">
        <f>IF(G110&gt;0,F110/G110,0)</f>
        <v>0.1572099422726049</v>
      </c>
      <c r="I110">
        <v>443</v>
      </c>
      <c r="J110">
        <v>0</v>
      </c>
      <c r="K110" s="8">
        <f>IF(I110&gt;0,J110/I110,0)</f>
        <v>0</v>
      </c>
    </row>
    <row r="111" spans="1:11">
      <c r="A111" t="s">
        <v>729</v>
      </c>
      <c r="B111" t="s">
        <v>626</v>
      </c>
      <c r="C111">
        <v>336</v>
      </c>
      <c r="D111">
        <v>5137</v>
      </c>
      <c r="E111" s="13">
        <f>IF(D111&gt;0,C111/D111,0)</f>
        <v>0.06541228232408282</v>
      </c>
      <c r="F111">
        <v>744</v>
      </c>
      <c r="G111">
        <v>4728</v>
      </c>
      <c r="H111" s="13">
        <f>IF(G111&gt;0,F111/G111,0)</f>
        <v>0.157420364541292</v>
      </c>
      <c r="I111">
        <v>759</v>
      </c>
      <c r="J111">
        <v>0</v>
      </c>
      <c r="K111" s="8">
        <f>IF(I111&gt;0,J111/I111,0)</f>
        <v>0</v>
      </c>
    </row>
    <row r="112" spans="1:11">
      <c r="A112" t="s">
        <v>729</v>
      </c>
      <c r="B112" t="s">
        <v>777</v>
      </c>
      <c r="C112">
        <v>336</v>
      </c>
      <c r="D112">
        <v>3972</v>
      </c>
      <c r="E112" s="13">
        <f>IF(D112&gt;0,C112/D112,0)</f>
        <v>0.08458244410817826</v>
      </c>
      <c r="F112">
        <v>745</v>
      </c>
      <c r="G112">
        <v>3564</v>
      </c>
      <c r="H112" s="13">
        <f>IF(G112&gt;0,F112/G112,0)</f>
        <v>0.20902903146348384</v>
      </c>
      <c r="I112">
        <v>734</v>
      </c>
      <c r="J112">
        <v>0</v>
      </c>
      <c r="K112" s="8">
        <f>IF(I112&gt;0,J112/I112,0)</f>
        <v>0</v>
      </c>
    </row>
    <row r="113" spans="1:11">
      <c r="A113" t="s">
        <v>733</v>
      </c>
      <c r="B113" t="s">
        <v>624</v>
      </c>
      <c r="C113">
        <v>443</v>
      </c>
      <c r="D113">
        <v>8277</v>
      </c>
      <c r="E113" s="13">
        <f>IF(D113&gt;0,C113/D113,0)</f>
        <v>0.053572661373835</v>
      </c>
      <c r="F113">
        <v>1440</v>
      </c>
      <c r="G113">
        <v>7281</v>
      </c>
      <c r="H113" s="13">
        <f>IF(G113&gt;0,F113/G113,0)</f>
        <v>0.1977631708034926</v>
      </c>
      <c r="I113">
        <v>316</v>
      </c>
      <c r="J113">
        <v>250</v>
      </c>
      <c r="K113" s="8">
        <f>IF(I113&gt;0,J113/I113,0)</f>
        <v>0.7909045971329708</v>
      </c>
    </row>
    <row r="114" spans="1:11">
      <c r="A114" t="s">
        <v>733</v>
      </c>
      <c r="B114" t="s">
        <v>625</v>
      </c>
      <c r="C114">
        <v>672</v>
      </c>
      <c r="D114">
        <v>14805</v>
      </c>
      <c r="E114" s="13">
        <f>IF(D114&gt;0,C114/D114,0)</f>
        <v>0.04539100402927391</v>
      </c>
      <c r="F114">
        <v>1692</v>
      </c>
      <c r="G114">
        <v>13784</v>
      </c>
      <c r="H114" s="13">
        <f>IF(G114&gt;0,F114/G114,0)</f>
        <v>0.12276252748049948</v>
      </c>
      <c r="I114">
        <v>667</v>
      </c>
      <c r="J114">
        <v>239</v>
      </c>
      <c r="K114" s="8">
        <f>IF(I114&gt;0,J114/I114,0)</f>
        <v>0.35857015262049585</v>
      </c>
    </row>
    <row r="115" spans="1:11">
      <c r="A115" t="s">
        <v>733</v>
      </c>
      <c r="B115" t="s">
        <v>626</v>
      </c>
      <c r="C115">
        <v>672</v>
      </c>
      <c r="D115">
        <v>15050</v>
      </c>
      <c r="E115" s="13">
        <f>IF(D115&gt;0,C115/D115,0)</f>
        <v>0.044651706720679876</v>
      </c>
      <c r="F115">
        <v>1712</v>
      </c>
      <c r="G115">
        <v>14010</v>
      </c>
      <c r="H115" s="13">
        <f>IF(G115&gt;0,F115/G115,0)</f>
        <v>0.122200028789337</v>
      </c>
      <c r="I115">
        <v>870</v>
      </c>
      <c r="J115">
        <v>252</v>
      </c>
      <c r="K115" s="8">
        <f>IF(I115&gt;0,J115/I115,0)</f>
        <v>0.2893265911615277</v>
      </c>
    </row>
    <row r="116" spans="1:11">
      <c r="A116" t="s">
        <v>733</v>
      </c>
      <c r="B116" t="s">
        <v>777</v>
      </c>
      <c r="C116">
        <v>672</v>
      </c>
      <c r="D116">
        <v>14542</v>
      </c>
      <c r="E116" s="13">
        <f>IF(D116&gt;0,C116/D116,0)</f>
        <v>0.04621238748720143</v>
      </c>
      <c r="F116">
        <v>1713</v>
      </c>
      <c r="G116">
        <v>13501</v>
      </c>
      <c r="H116" s="13">
        <f>IF(G116&gt;0,F116/G116,0)</f>
        <v>0.12684657103589034</v>
      </c>
      <c r="I116">
        <v>861</v>
      </c>
      <c r="J116">
        <v>249</v>
      </c>
      <c r="K116" s="8">
        <f>IF(I116&gt;0,J116/I116,0)</f>
        <v>0.2890799413538116</v>
      </c>
    </row>
    <row r="117" spans="1:11">
      <c r="A117" t="s">
        <v>734</v>
      </c>
      <c r="B117" t="s">
        <v>624</v>
      </c>
      <c r="C117">
        <v>176</v>
      </c>
      <c r="D117">
        <v>4185</v>
      </c>
      <c r="E117" s="13">
        <f>IF(D117&gt;0,C117/D117,0)</f>
        <v>0.042054958183990444</v>
      </c>
      <c r="F117">
        <v>1172</v>
      </c>
      <c r="G117">
        <v>3189</v>
      </c>
      <c r="H117" s="13">
        <f>IF(G117&gt;0,F117/G117,0)</f>
        <v>0.36769713261648745</v>
      </c>
      <c r="I117">
        <v>233</v>
      </c>
      <c r="J117">
        <v>250</v>
      </c>
      <c r="K117" s="8">
        <f>IF(I117&gt;0,J117/I117,0)</f>
        <v>1.0723039215686274</v>
      </c>
    </row>
    <row r="118" spans="1:11">
      <c r="A118" t="s">
        <v>734</v>
      </c>
      <c r="B118" t="s">
        <v>625</v>
      </c>
      <c r="C118">
        <v>317</v>
      </c>
      <c r="D118">
        <v>6841</v>
      </c>
      <c r="E118" s="13">
        <f>IF(D118&gt;0,C118/D118,0)</f>
        <v>0.04637062177054932</v>
      </c>
      <c r="F118">
        <v>1329</v>
      </c>
      <c r="G118">
        <v>5829</v>
      </c>
      <c r="H118" s="13">
        <f>IF(G118&gt;0,F118/G118,0)</f>
        <v>0.22793788597511858</v>
      </c>
      <c r="I118">
        <v>487</v>
      </c>
      <c r="J118">
        <v>239</v>
      </c>
      <c r="K118" s="8">
        <f>IF(I118&gt;0,J118/I118,0)</f>
        <v>0.49086559685591025</v>
      </c>
    </row>
    <row r="119" spans="1:11">
      <c r="A119" t="s">
        <v>734</v>
      </c>
      <c r="B119" t="s">
        <v>626</v>
      </c>
      <c r="C119">
        <v>336</v>
      </c>
      <c r="D119">
        <v>7212</v>
      </c>
      <c r="E119" s="13">
        <f>IF(D119&gt;0,C119/D119,0)</f>
        <v>0.046587403376200216</v>
      </c>
      <c r="F119">
        <v>1374</v>
      </c>
      <c r="G119">
        <v>6174</v>
      </c>
      <c r="H119" s="13">
        <f>IF(G119&gt;0,F119/G119,0)</f>
        <v>0.22260315574932174</v>
      </c>
      <c r="I119">
        <v>743</v>
      </c>
      <c r="J119">
        <v>252</v>
      </c>
      <c r="K119" s="8">
        <f>IF(I119&gt;0,J119/I119,0)</f>
        <v>0.33886601586438453</v>
      </c>
    </row>
    <row r="120" spans="1:11">
      <c r="A120" t="s">
        <v>734</v>
      </c>
      <c r="B120" t="s">
        <v>777</v>
      </c>
      <c r="C120">
        <v>336</v>
      </c>
      <c r="D120">
        <v>6900</v>
      </c>
      <c r="E120" s="13">
        <f>IF(D120&gt;0,C120/D120,0)</f>
        <v>0.04869518168906581</v>
      </c>
      <c r="F120">
        <v>1362</v>
      </c>
      <c r="G120">
        <v>5874</v>
      </c>
      <c r="H120" s="13">
        <f>IF(G120&gt;0,F120/G120,0)</f>
        <v>0.23188992463908478</v>
      </c>
      <c r="I120">
        <v>804</v>
      </c>
      <c r="J120">
        <v>249</v>
      </c>
      <c r="K120" s="8">
        <f>IF(I120&gt;0,J120/I120,0)</f>
        <v>0.30942313152785345</v>
      </c>
    </row>
    <row r="122" spans="1:11">
      <c r="A122" s="4" t="s">
        <v>778</v>
      </c>
    </row>
    <row r="123" spans="1:11" ht="32" customHeight="1">
      <c r="A123" s="5" t="s">
        <v>20</v>
      </c>
      <c r="B123" s="5"/>
      <c r="C123" s="5" t="s">
        <v>779</v>
      </c>
      <c r="D123" s="5" t="s">
        <v>780</v>
      </c>
      <c r="E123" s="5" t="s">
        <v>773</v>
      </c>
    </row>
    <row r="124" spans="1:11">
      <c r="A124" t="s">
        <v>29</v>
      </c>
      <c r="C124">
        <v>19308</v>
      </c>
      <c r="D124">
        <v>28439</v>
      </c>
      <c r="E124" s="13">
        <f>IF(D124&gt;0,C124/D124,0)</f>
        <v>0.678926825837758</v>
      </c>
    </row>
    <row r="125" spans="1:11">
      <c r="A125" t="s">
        <v>30</v>
      </c>
      <c r="C125">
        <v>28958</v>
      </c>
      <c r="D125">
        <v>60490</v>
      </c>
      <c r="E125" s="13">
        <f>IF(D125&gt;0,C125/D125,0)</f>
        <v>0.4787237559927261</v>
      </c>
    </row>
    <row r="126" spans="1:11">
      <c r="A126" t="s">
        <v>31</v>
      </c>
      <c r="C126">
        <v>62352</v>
      </c>
      <c r="D126">
        <v>148530</v>
      </c>
      <c r="E126" s="13">
        <f>IF(D126&gt;0,C126/D126,0)</f>
        <v>0.41979398101393656</v>
      </c>
    </row>
    <row r="127" spans="1:11">
      <c r="A127" t="s">
        <v>32</v>
      </c>
      <c r="C127">
        <v>115706</v>
      </c>
      <c r="D127">
        <v>252561</v>
      </c>
      <c r="E127" s="13">
        <f>IF(D127&gt;0,C127/D127,0)</f>
        <v>0.45813090698880665</v>
      </c>
    </row>
    <row r="128" spans="1:11">
      <c r="A128" t="s">
        <v>33</v>
      </c>
      <c r="C128">
        <v>62880</v>
      </c>
      <c r="D128">
        <v>182308</v>
      </c>
      <c r="E128" s="13">
        <f>IF(D128&gt;0,C128/D128,0)</f>
        <v>0.34491081027711346</v>
      </c>
    </row>
    <row r="130" spans="1:9">
      <c r="A130" s="4" t="s">
        <v>781</v>
      </c>
    </row>
    <row r="131" spans="1:9" ht="32" customHeight="1">
      <c r="A131" s="5" t="s">
        <v>782</v>
      </c>
      <c r="B131" s="5"/>
      <c r="C131" s="5" t="s">
        <v>39</v>
      </c>
      <c r="D131" s="5" t="s">
        <v>783</v>
      </c>
      <c r="E131" s="5" t="s">
        <v>784</v>
      </c>
    </row>
    <row r="132" spans="1:9">
      <c r="A132" t="s">
        <v>785</v>
      </c>
      <c r="C132">
        <v>58580</v>
      </c>
      <c r="D132">
        <v>378</v>
      </c>
      <c r="E132" s="8">
        <f>IF(D132&gt;0,C132/D132,0)</f>
        <v>154.97354497354496</v>
      </c>
    </row>
    <row r="133" spans="1:9">
      <c r="A133" t="s">
        <v>786</v>
      </c>
      <c r="C133">
        <v>69790</v>
      </c>
      <c r="D133">
        <v>378</v>
      </c>
      <c r="E133" s="8">
        <f>IF(D133&gt;0,C133/D133,0)</f>
        <v>184.62962962962962</v>
      </c>
    </row>
    <row r="134" spans="1:9">
      <c r="A134" t="s">
        <v>787</v>
      </c>
      <c r="C134">
        <v>55840</v>
      </c>
      <c r="D134">
        <v>378</v>
      </c>
      <c r="E134" s="8">
        <f>IF(D134&gt;0,C134/D134,0)</f>
        <v>147.72486772486772</v>
      </c>
    </row>
    <row r="136" spans="1:9">
      <c r="A136" s="4" t="s">
        <v>788</v>
      </c>
    </row>
    <row r="137" spans="1:9" ht="32" customHeight="1">
      <c r="A137" s="5" t="s">
        <v>789</v>
      </c>
      <c r="B137" s="5" t="s">
        <v>790</v>
      </c>
      <c r="C137" s="5" t="s">
        <v>666</v>
      </c>
      <c r="D137" s="5" t="s">
        <v>791</v>
      </c>
      <c r="E137" s="5" t="s">
        <v>675</v>
      </c>
      <c r="F137" s="5" t="s">
        <v>792</v>
      </c>
      <c r="G137" s="5" t="s">
        <v>793</v>
      </c>
      <c r="H137" s="5" t="s">
        <v>794</v>
      </c>
      <c r="I137" s="5" t="s">
        <v>795</v>
      </c>
    </row>
    <row r="138" spans="1:9">
      <c r="A138" t="s">
        <v>796</v>
      </c>
      <c r="B138" t="s">
        <v>797</v>
      </c>
      <c r="C138">
        <v>8</v>
      </c>
      <c r="D138">
        <v>38</v>
      </c>
      <c r="E138">
        <v>360</v>
      </c>
      <c r="F138">
        <v>190</v>
      </c>
      <c r="G138" s="12">
        <f>F138-E138</f>
        <v>-170</v>
      </c>
      <c r="H138" s="8">
        <f>IF(I138&gt;0,G138/I138,0)</f>
        <v>-1.4166666666666667</v>
      </c>
      <c r="I138">
        <v>120</v>
      </c>
    </row>
    <row r="139" spans="1:9">
      <c r="A139" t="s">
        <v>798</v>
      </c>
      <c r="B139" t="s">
        <v>799</v>
      </c>
      <c r="C139">
        <v>8</v>
      </c>
      <c r="D139">
        <v>38</v>
      </c>
      <c r="E139">
        <v>360</v>
      </c>
      <c r="F139">
        <v>400</v>
      </c>
      <c r="G139" s="12">
        <f>F139-E139</f>
        <v>40</v>
      </c>
      <c r="H139" s="8">
        <f>IF(I139&gt;0,G139/I139,0)</f>
        <v>0.3333333333333333</v>
      </c>
      <c r="I139">
        <v>120</v>
      </c>
    </row>
    <row r="140" spans="1:9">
      <c r="A140" t="s">
        <v>800</v>
      </c>
      <c r="B140" t="s">
        <v>801</v>
      </c>
      <c r="C140">
        <v>8</v>
      </c>
      <c r="D140">
        <v>38</v>
      </c>
      <c r="E140">
        <v>360</v>
      </c>
      <c r="F140">
        <v>350</v>
      </c>
      <c r="G140" s="12">
        <f>F140-E140</f>
        <v>-10</v>
      </c>
      <c r="H140" s="8">
        <f>IF(I140&gt;0,G140/I140,0)</f>
        <v>-0.08333333333333333</v>
      </c>
      <c r="I140">
        <v>120</v>
      </c>
    </row>
    <row r="141" spans="1:9">
      <c r="A141" t="s">
        <v>802</v>
      </c>
      <c r="B141" t="s">
        <v>803</v>
      </c>
      <c r="C141">
        <v>8</v>
      </c>
      <c r="D141">
        <v>38</v>
      </c>
      <c r="E141">
        <v>154</v>
      </c>
      <c r="F141">
        <v>20</v>
      </c>
      <c r="G141" s="12">
        <f>F141-E141</f>
        <v>-134</v>
      </c>
      <c r="H141" s="8">
        <f>IF(I141&gt;0,G141/I141,0)</f>
        <v>-1.1166666666666667</v>
      </c>
      <c r="I141">
        <v>120</v>
      </c>
    </row>
    <row r="142" spans="1:9">
      <c r="A142" t="s">
        <v>804</v>
      </c>
      <c r="B142" t="s">
        <v>805</v>
      </c>
      <c r="C142">
        <v>8</v>
      </c>
      <c r="D142">
        <v>38</v>
      </c>
      <c r="E142">
        <v>100</v>
      </c>
      <c r="F142">
        <v>100</v>
      </c>
      <c r="G142" s="12">
        <f>F142-E142</f>
        <v>0</v>
      </c>
      <c r="H142" s="8">
        <f>IF(I142&gt;0,G142/I142,0)</f>
        <v>0</v>
      </c>
      <c r="I142">
        <v>120</v>
      </c>
    </row>
    <row r="143" spans="1:9">
      <c r="A143" t="s">
        <v>806</v>
      </c>
      <c r="B143" t="s">
        <v>807</v>
      </c>
      <c r="C143">
        <v>8</v>
      </c>
      <c r="D143">
        <v>38</v>
      </c>
      <c r="E143">
        <v>100</v>
      </c>
      <c r="F143">
        <v>180</v>
      </c>
      <c r="G143" s="12">
        <f>F143-E143</f>
        <v>80</v>
      </c>
      <c r="H143" s="8">
        <f>IF(I143&gt;0,G143/I143,0)</f>
        <v>0.6666666666666666</v>
      </c>
      <c r="I143">
        <v>120</v>
      </c>
    </row>
    <row r="144" spans="1:9">
      <c r="A144" t="s">
        <v>808</v>
      </c>
      <c r="B144" t="s">
        <v>809</v>
      </c>
      <c r="C144">
        <v>8</v>
      </c>
      <c r="D144">
        <v>38</v>
      </c>
      <c r="E144">
        <v>0</v>
      </c>
      <c r="F144">
        <v>70</v>
      </c>
      <c r="G144" s="12">
        <f>F144-E144</f>
        <v>70</v>
      </c>
      <c r="H144" s="8">
        <f>IF(I144&gt;0,G144/I144,0)</f>
        <v>0.5833333333333334</v>
      </c>
      <c r="I144">
        <v>120</v>
      </c>
    </row>
    <row r="145" spans="1:9">
      <c r="A145" t="s">
        <v>796</v>
      </c>
      <c r="B145" t="s">
        <v>797</v>
      </c>
      <c r="C145">
        <v>5</v>
      </c>
      <c r="D145">
        <v>55</v>
      </c>
      <c r="E145">
        <v>760</v>
      </c>
      <c r="F145">
        <v>410</v>
      </c>
      <c r="G145" s="12">
        <f>F145-E145</f>
        <v>-350</v>
      </c>
      <c r="H145" s="8">
        <f>IF(I145&gt;0,G145/I145,0)</f>
        <v>-1.9886363636363635</v>
      </c>
      <c r="I145">
        <v>176</v>
      </c>
    </row>
    <row r="146" spans="1:9">
      <c r="A146" t="s">
        <v>798</v>
      </c>
      <c r="B146" t="s">
        <v>799</v>
      </c>
      <c r="C146">
        <v>5</v>
      </c>
      <c r="D146">
        <v>55</v>
      </c>
      <c r="E146">
        <v>760</v>
      </c>
      <c r="F146">
        <v>840</v>
      </c>
      <c r="G146" s="12">
        <f>F146-E146</f>
        <v>80</v>
      </c>
      <c r="H146" s="8">
        <f>IF(I146&gt;0,G146/I146,0)</f>
        <v>0.45454545454545453</v>
      </c>
      <c r="I146">
        <v>176</v>
      </c>
    </row>
    <row r="147" spans="1:9">
      <c r="A147" t="s">
        <v>800</v>
      </c>
      <c r="B147" t="s">
        <v>801</v>
      </c>
      <c r="C147">
        <v>5</v>
      </c>
      <c r="D147">
        <v>55</v>
      </c>
      <c r="E147">
        <v>760</v>
      </c>
      <c r="F147">
        <v>740</v>
      </c>
      <c r="G147" s="12">
        <f>F147-E147</f>
        <v>-20</v>
      </c>
      <c r="H147" s="8">
        <f>IF(I147&gt;0,G147/I147,0)</f>
        <v>-0.11363636363636363</v>
      </c>
      <c r="I147">
        <v>176</v>
      </c>
    </row>
    <row r="148" spans="1:9">
      <c r="A148" t="s">
        <v>802</v>
      </c>
      <c r="B148" t="s">
        <v>803</v>
      </c>
      <c r="C148">
        <v>5</v>
      </c>
      <c r="D148">
        <v>55</v>
      </c>
      <c r="E148">
        <v>205</v>
      </c>
      <c r="F148">
        <v>30</v>
      </c>
      <c r="G148" s="12">
        <f>F148-E148</f>
        <v>-175</v>
      </c>
      <c r="H148" s="8">
        <f>IF(I148&gt;0,G148/I148,0)</f>
        <v>-0.9943181818181818</v>
      </c>
      <c r="I148">
        <v>176</v>
      </c>
    </row>
    <row r="149" spans="1:9">
      <c r="A149" t="s">
        <v>804</v>
      </c>
      <c r="B149" t="s">
        <v>805</v>
      </c>
      <c r="C149">
        <v>5</v>
      </c>
      <c r="D149">
        <v>55</v>
      </c>
      <c r="E149">
        <v>250</v>
      </c>
      <c r="F149">
        <v>250</v>
      </c>
      <c r="G149" s="12">
        <f>F149-E149</f>
        <v>0</v>
      </c>
      <c r="H149" s="8">
        <f>IF(I149&gt;0,G149/I149,0)</f>
        <v>0</v>
      </c>
      <c r="I149">
        <v>176</v>
      </c>
    </row>
    <row r="150" spans="1:9">
      <c r="A150" t="s">
        <v>806</v>
      </c>
      <c r="B150" t="s">
        <v>807</v>
      </c>
      <c r="C150">
        <v>5</v>
      </c>
      <c r="D150">
        <v>55</v>
      </c>
      <c r="E150">
        <v>250</v>
      </c>
      <c r="F150">
        <v>450</v>
      </c>
      <c r="G150" s="12">
        <f>F150-E150</f>
        <v>200</v>
      </c>
      <c r="H150" s="8">
        <f>IF(I150&gt;0,G150/I150,0)</f>
        <v>1.1363636363636365</v>
      </c>
      <c r="I150">
        <v>176</v>
      </c>
    </row>
    <row r="151" spans="1:9">
      <c r="A151" t="s">
        <v>808</v>
      </c>
      <c r="B151" t="s">
        <v>809</v>
      </c>
      <c r="C151">
        <v>5</v>
      </c>
      <c r="D151">
        <v>55</v>
      </c>
      <c r="E151">
        <v>0</v>
      </c>
      <c r="F151">
        <v>200</v>
      </c>
      <c r="G151" s="12">
        <f>F151-E151</f>
        <v>200</v>
      </c>
      <c r="H151" s="8">
        <f>IF(I151&gt;0,G151/I151,0)</f>
        <v>1.1363636363636365</v>
      </c>
      <c r="I151">
        <v>176</v>
      </c>
    </row>
    <row r="152" spans="1:9">
      <c r="A152" t="s">
        <v>796</v>
      </c>
      <c r="B152" t="s">
        <v>797</v>
      </c>
      <c r="C152">
        <v>1</v>
      </c>
      <c r="D152">
        <v>92</v>
      </c>
      <c r="E152">
        <v>2120</v>
      </c>
      <c r="F152">
        <v>1130</v>
      </c>
      <c r="G152" s="12">
        <f>F152-E152</f>
        <v>-990</v>
      </c>
      <c r="H152" s="8">
        <f>IF(I152&gt;0,G152/I152,0)</f>
        <v>-2.0625</v>
      </c>
      <c r="I152">
        <v>480</v>
      </c>
    </row>
    <row r="153" spans="1:9">
      <c r="A153" t="s">
        <v>798</v>
      </c>
      <c r="B153" t="s">
        <v>799</v>
      </c>
      <c r="C153">
        <v>1</v>
      </c>
      <c r="D153">
        <v>92</v>
      </c>
      <c r="E153">
        <v>2120</v>
      </c>
      <c r="F153">
        <v>2330</v>
      </c>
      <c r="G153" s="12">
        <f>F153-E153</f>
        <v>210</v>
      </c>
      <c r="H153" s="8">
        <f>IF(I153&gt;0,G153/I153,0)</f>
        <v>0.4375</v>
      </c>
      <c r="I153">
        <v>480</v>
      </c>
    </row>
    <row r="154" spans="1:9">
      <c r="A154" t="s">
        <v>800</v>
      </c>
      <c r="B154" t="s">
        <v>801</v>
      </c>
      <c r="C154">
        <v>1</v>
      </c>
      <c r="D154">
        <v>92</v>
      </c>
      <c r="E154">
        <v>2120</v>
      </c>
      <c r="F154">
        <v>2080</v>
      </c>
      <c r="G154" s="12">
        <f>F154-E154</f>
        <v>-40</v>
      </c>
      <c r="H154" s="8">
        <f>IF(I154&gt;0,G154/I154,0)</f>
        <v>-0.08333333333333333</v>
      </c>
      <c r="I154">
        <v>480</v>
      </c>
    </row>
    <row r="155" spans="1:9">
      <c r="A155" t="s">
        <v>802</v>
      </c>
      <c r="B155" t="s">
        <v>803</v>
      </c>
      <c r="C155">
        <v>1</v>
      </c>
      <c r="D155">
        <v>92</v>
      </c>
      <c r="E155">
        <v>316</v>
      </c>
      <c r="F155">
        <v>50</v>
      </c>
      <c r="G155" s="12">
        <f>F155-E155</f>
        <v>-266</v>
      </c>
      <c r="H155" s="8">
        <f>IF(I155&gt;0,G155/I155,0)</f>
        <v>-0.5541666666666667</v>
      </c>
      <c r="I155">
        <v>480</v>
      </c>
    </row>
    <row r="156" spans="1:9">
      <c r="A156" t="s">
        <v>804</v>
      </c>
      <c r="B156" t="s">
        <v>805</v>
      </c>
      <c r="C156">
        <v>1</v>
      </c>
      <c r="D156">
        <v>92</v>
      </c>
      <c r="E156">
        <v>830</v>
      </c>
      <c r="F156">
        <v>810</v>
      </c>
      <c r="G156" s="12">
        <f>F156-E156</f>
        <v>-20</v>
      </c>
      <c r="H156" s="8">
        <f>IF(I156&gt;0,G156/I156,0)</f>
        <v>-0.041666666666666664</v>
      </c>
      <c r="I156">
        <v>480</v>
      </c>
    </row>
    <row r="157" spans="1:9">
      <c r="A157" t="s">
        <v>806</v>
      </c>
      <c r="B157" t="s">
        <v>807</v>
      </c>
      <c r="C157">
        <v>1</v>
      </c>
      <c r="D157">
        <v>92</v>
      </c>
      <c r="E157">
        <v>830</v>
      </c>
      <c r="F157">
        <v>1490</v>
      </c>
      <c r="G157" s="12">
        <f>F157-E157</f>
        <v>660</v>
      </c>
      <c r="H157" s="8">
        <f>IF(I157&gt;0,G157/I157,0)</f>
        <v>1.375</v>
      </c>
      <c r="I157">
        <v>480</v>
      </c>
    </row>
    <row r="158" spans="1:9">
      <c r="A158" t="s">
        <v>808</v>
      </c>
      <c r="B158" t="s">
        <v>809</v>
      </c>
      <c r="C158">
        <v>1</v>
      </c>
      <c r="D158">
        <v>92</v>
      </c>
      <c r="E158">
        <v>0</v>
      </c>
      <c r="F158">
        <v>720</v>
      </c>
      <c r="G158" s="12">
        <f>F158-E158</f>
        <v>720</v>
      </c>
      <c r="H158" s="8">
        <f>IF(I158&gt;0,G158/I158,0)</f>
        <v>1.5</v>
      </c>
      <c r="I158">
        <v>480</v>
      </c>
    </row>
    <row r="160" spans="1:9">
      <c r="A160" s="4" t="s">
        <v>810</v>
      </c>
    </row>
    <row r="161" spans="1:16" ht="32" customHeight="1">
      <c r="A161" s="5" t="s">
        <v>667</v>
      </c>
      <c r="B161" s="5"/>
      <c r="C161" s="5" t="s">
        <v>666</v>
      </c>
      <c r="D161" s="5" t="s">
        <v>558</v>
      </c>
      <c r="E161" s="5" t="s">
        <v>811</v>
      </c>
      <c r="F161" s="5" t="s">
        <v>812</v>
      </c>
      <c r="G161" s="5" t="s">
        <v>813</v>
      </c>
      <c r="H161" s="5" t="s">
        <v>814</v>
      </c>
      <c r="I161" s="5" t="s">
        <v>815</v>
      </c>
      <c r="J161" s="5" t="s">
        <v>816</v>
      </c>
      <c r="K161" s="5" t="s">
        <v>817</v>
      </c>
      <c r="L161" s="5" t="s">
        <v>704</v>
      </c>
      <c r="M161" s="5" t="s">
        <v>818</v>
      </c>
      <c r="N161" s="5" t="s">
        <v>819</v>
      </c>
      <c r="O161" s="5" t="s">
        <v>820</v>
      </c>
      <c r="P161" s="5" t="s">
        <v>821</v>
      </c>
    </row>
    <row r="162" spans="1:16">
      <c r="A162" t="s">
        <v>721</v>
      </c>
      <c r="C162">
        <v>8</v>
      </c>
      <c r="D162">
        <v>0</v>
      </c>
      <c r="E162">
        <v>39</v>
      </c>
      <c r="F162">
        <v>120</v>
      </c>
      <c r="G162">
        <v>109</v>
      </c>
      <c r="H162">
        <v>20</v>
      </c>
      <c r="I162">
        <v>60</v>
      </c>
      <c r="J162">
        <v>320</v>
      </c>
      <c r="K162" s="10">
        <v>1.237432327919567</v>
      </c>
      <c r="L162">
        <v>870</v>
      </c>
      <c r="M162">
        <v>131</v>
      </c>
      <c r="N162">
        <v>285</v>
      </c>
      <c r="O162">
        <v>380</v>
      </c>
      <c r="P162">
        <v>157</v>
      </c>
    </row>
    <row r="163" spans="1:16">
      <c r="A163" t="s">
        <v>721</v>
      </c>
      <c r="C163">
        <v>8</v>
      </c>
      <c r="D163">
        <v>5</v>
      </c>
      <c r="E163">
        <v>39</v>
      </c>
      <c r="F163">
        <v>180</v>
      </c>
      <c r="G163">
        <v>164</v>
      </c>
      <c r="H163">
        <v>20</v>
      </c>
      <c r="I163">
        <v>60</v>
      </c>
      <c r="J163">
        <v>320</v>
      </c>
      <c r="K163" s="10">
        <v>1.020408163265306</v>
      </c>
      <c r="L163">
        <v>1090</v>
      </c>
      <c r="M163">
        <v>164</v>
      </c>
      <c r="N163">
        <v>360</v>
      </c>
      <c r="O163">
        <v>380</v>
      </c>
      <c r="P163">
        <v>157</v>
      </c>
    </row>
    <row r="164" spans="1:16">
      <c r="A164" t="s">
        <v>724</v>
      </c>
      <c r="C164">
        <v>7</v>
      </c>
      <c r="D164">
        <v>0</v>
      </c>
      <c r="E164">
        <v>43</v>
      </c>
      <c r="F164">
        <v>120</v>
      </c>
      <c r="G164">
        <v>109</v>
      </c>
      <c r="H164">
        <v>30</v>
      </c>
      <c r="I164">
        <v>60</v>
      </c>
      <c r="J164">
        <v>320</v>
      </c>
      <c r="K164" s="10">
        <v>1.159000362187613</v>
      </c>
      <c r="L164">
        <v>1060</v>
      </c>
      <c r="M164">
        <v>159</v>
      </c>
      <c r="N164">
        <v>315</v>
      </c>
      <c r="O164">
        <v>460</v>
      </c>
      <c r="P164">
        <v>169</v>
      </c>
    </row>
    <row r="165" spans="1:16">
      <c r="A165" t="s">
        <v>724</v>
      </c>
      <c r="C165">
        <v>7</v>
      </c>
      <c r="D165">
        <v>5</v>
      </c>
      <c r="E165">
        <v>43</v>
      </c>
      <c r="F165">
        <v>180</v>
      </c>
      <c r="G165">
        <v>164</v>
      </c>
      <c r="H165">
        <v>30</v>
      </c>
      <c r="I165">
        <v>60</v>
      </c>
      <c r="J165">
        <v>320</v>
      </c>
      <c r="K165" s="10">
        <v>0.9664753850800362</v>
      </c>
      <c r="L165">
        <v>1330</v>
      </c>
      <c r="M165">
        <v>200</v>
      </c>
      <c r="N165">
        <v>390</v>
      </c>
      <c r="O165">
        <v>460</v>
      </c>
      <c r="P165">
        <v>169</v>
      </c>
    </row>
    <row r="166" spans="1:16">
      <c r="A166" t="s">
        <v>725</v>
      </c>
      <c r="C166">
        <v>6</v>
      </c>
      <c r="D166">
        <v>0</v>
      </c>
      <c r="E166">
        <v>47</v>
      </c>
      <c r="F166">
        <v>120</v>
      </c>
      <c r="G166">
        <v>109</v>
      </c>
      <c r="H166">
        <v>40</v>
      </c>
      <c r="I166">
        <v>60</v>
      </c>
      <c r="J166">
        <v>320</v>
      </c>
      <c r="K166" s="10">
        <v>1.08991825613079</v>
      </c>
      <c r="L166">
        <v>1270</v>
      </c>
      <c r="M166">
        <v>191</v>
      </c>
      <c r="N166">
        <v>795</v>
      </c>
      <c r="O166">
        <v>550</v>
      </c>
      <c r="P166">
        <v>181</v>
      </c>
    </row>
    <row r="167" spans="1:16">
      <c r="A167" t="s">
        <v>725</v>
      </c>
      <c r="C167">
        <v>6</v>
      </c>
      <c r="D167">
        <v>5</v>
      </c>
      <c r="E167">
        <v>47</v>
      </c>
      <c r="F167">
        <v>180</v>
      </c>
      <c r="G167">
        <v>164</v>
      </c>
      <c r="H167">
        <v>40</v>
      </c>
      <c r="I167">
        <v>60</v>
      </c>
      <c r="J167">
        <v>320</v>
      </c>
      <c r="K167" s="10">
        <v>0.9179575444635685</v>
      </c>
      <c r="L167">
        <v>1590</v>
      </c>
      <c r="M167">
        <v>239</v>
      </c>
      <c r="N167">
        <v>990</v>
      </c>
      <c r="O167">
        <v>550</v>
      </c>
      <c r="P167">
        <v>181</v>
      </c>
    </row>
    <row r="168" spans="1:16">
      <c r="A168" t="s">
        <v>726</v>
      </c>
      <c r="C168">
        <v>5</v>
      </c>
      <c r="D168">
        <v>0</v>
      </c>
      <c r="E168">
        <v>56</v>
      </c>
      <c r="F168">
        <v>160</v>
      </c>
      <c r="G168">
        <v>138</v>
      </c>
      <c r="H168">
        <v>60</v>
      </c>
      <c r="I168">
        <v>80</v>
      </c>
      <c r="J168">
        <v>320</v>
      </c>
      <c r="K168" s="10">
        <v>0.8700380641653072</v>
      </c>
      <c r="L168">
        <v>1800</v>
      </c>
      <c r="M168">
        <v>270</v>
      </c>
      <c r="N168">
        <v>945</v>
      </c>
      <c r="O168">
        <v>780</v>
      </c>
      <c r="P168">
        <v>208</v>
      </c>
    </row>
    <row r="169" spans="1:16">
      <c r="A169" t="s">
        <v>726</v>
      </c>
      <c r="C169">
        <v>5</v>
      </c>
      <c r="D169">
        <v>5</v>
      </c>
      <c r="E169">
        <v>56</v>
      </c>
      <c r="F169">
        <v>240</v>
      </c>
      <c r="G169">
        <v>207</v>
      </c>
      <c r="H169">
        <v>60</v>
      </c>
      <c r="I169">
        <v>80</v>
      </c>
      <c r="J169">
        <v>320</v>
      </c>
      <c r="K169" s="10">
        <v>0.7315957933241884</v>
      </c>
      <c r="L169">
        <v>2250</v>
      </c>
      <c r="M169">
        <v>338</v>
      </c>
      <c r="N169">
        <v>1185</v>
      </c>
      <c r="O169">
        <v>780</v>
      </c>
      <c r="P169">
        <v>208</v>
      </c>
    </row>
    <row r="170" spans="1:16">
      <c r="A170" t="s">
        <v>727</v>
      </c>
      <c r="C170">
        <v>4</v>
      </c>
      <c r="D170">
        <v>0</v>
      </c>
      <c r="E170">
        <v>65</v>
      </c>
      <c r="F170">
        <v>200</v>
      </c>
      <c r="G170">
        <v>167</v>
      </c>
      <c r="H170">
        <v>70</v>
      </c>
      <c r="I170">
        <v>100</v>
      </c>
      <c r="J170">
        <v>320</v>
      </c>
      <c r="K170" s="10">
        <v>0.7538280329799765</v>
      </c>
      <c r="L170">
        <v>2430</v>
      </c>
      <c r="M170">
        <v>365</v>
      </c>
      <c r="N170">
        <v>1200</v>
      </c>
      <c r="O170">
        <v>1060</v>
      </c>
      <c r="P170">
        <v>235</v>
      </c>
    </row>
    <row r="171" spans="1:16">
      <c r="A171" t="s">
        <v>727</v>
      </c>
      <c r="C171">
        <v>4</v>
      </c>
      <c r="D171">
        <v>5</v>
      </c>
      <c r="E171">
        <v>65</v>
      </c>
      <c r="F171">
        <v>300</v>
      </c>
      <c r="G171">
        <v>251</v>
      </c>
      <c r="H171">
        <v>70</v>
      </c>
      <c r="I171">
        <v>100</v>
      </c>
      <c r="J171">
        <v>320</v>
      </c>
      <c r="K171" s="10">
        <v>0.6290544525260467</v>
      </c>
      <c r="L171">
        <v>3040</v>
      </c>
      <c r="M171">
        <v>456</v>
      </c>
      <c r="N171">
        <v>1500</v>
      </c>
      <c r="O171">
        <v>1060</v>
      </c>
      <c r="P171">
        <v>235</v>
      </c>
    </row>
    <row r="172" spans="1:16">
      <c r="A172" t="s">
        <v>728</v>
      </c>
      <c r="C172">
        <v>3</v>
      </c>
      <c r="D172">
        <v>0</v>
      </c>
      <c r="E172">
        <v>75</v>
      </c>
      <c r="F172">
        <v>240</v>
      </c>
      <c r="G172">
        <v>196</v>
      </c>
      <c r="H172">
        <v>80</v>
      </c>
      <c r="I172">
        <v>120</v>
      </c>
      <c r="J172">
        <v>320</v>
      </c>
      <c r="K172" s="10">
        <v>0.6650041562759768</v>
      </c>
      <c r="L172">
        <v>3230</v>
      </c>
      <c r="M172">
        <v>485</v>
      </c>
      <c r="N172">
        <v>1245</v>
      </c>
      <c r="O172">
        <v>1410</v>
      </c>
      <c r="P172">
        <v>265</v>
      </c>
    </row>
    <row r="173" spans="1:16">
      <c r="A173" t="s">
        <v>728</v>
      </c>
      <c r="C173">
        <v>3</v>
      </c>
      <c r="D173">
        <v>5</v>
      </c>
      <c r="E173">
        <v>75</v>
      </c>
      <c r="F173">
        <v>360</v>
      </c>
      <c r="G173">
        <v>295</v>
      </c>
      <c r="H173">
        <v>80</v>
      </c>
      <c r="I173">
        <v>120</v>
      </c>
      <c r="J173">
        <v>320</v>
      </c>
      <c r="K173" s="10">
        <v>0.5517241379310345</v>
      </c>
      <c r="L173">
        <v>4040</v>
      </c>
      <c r="M173">
        <v>606</v>
      </c>
      <c r="N173">
        <v>1545</v>
      </c>
      <c r="O173">
        <v>1410</v>
      </c>
      <c r="P173">
        <v>265</v>
      </c>
    </row>
    <row r="174" spans="1:16">
      <c r="A174" t="s">
        <v>730</v>
      </c>
      <c r="C174">
        <v>2</v>
      </c>
      <c r="D174">
        <v>0</v>
      </c>
      <c r="E174">
        <v>84</v>
      </c>
      <c r="F174">
        <v>280</v>
      </c>
      <c r="G174">
        <v>225</v>
      </c>
      <c r="H174">
        <v>90</v>
      </c>
      <c r="I174">
        <v>140</v>
      </c>
      <c r="J174">
        <v>320</v>
      </c>
      <c r="K174" s="10">
        <v>0.594906116378509</v>
      </c>
      <c r="L174">
        <v>4060</v>
      </c>
      <c r="M174">
        <v>609</v>
      </c>
      <c r="N174">
        <v>1365</v>
      </c>
      <c r="O174">
        <v>1760</v>
      </c>
      <c r="P174">
        <v>292</v>
      </c>
    </row>
    <row r="175" spans="1:16">
      <c r="A175" t="s">
        <v>730</v>
      </c>
      <c r="C175">
        <v>2</v>
      </c>
      <c r="D175">
        <v>5</v>
      </c>
      <c r="E175">
        <v>84</v>
      </c>
      <c r="F175">
        <v>420</v>
      </c>
      <c r="G175">
        <v>339</v>
      </c>
      <c r="H175">
        <v>90</v>
      </c>
      <c r="I175">
        <v>140</v>
      </c>
      <c r="J175">
        <v>320</v>
      </c>
      <c r="K175" s="10">
        <v>0.4913250422232459</v>
      </c>
      <c r="L175">
        <v>5070</v>
      </c>
      <c r="M175">
        <v>761</v>
      </c>
      <c r="N175">
        <v>1725</v>
      </c>
      <c r="O175">
        <v>1760</v>
      </c>
      <c r="P175">
        <v>292</v>
      </c>
    </row>
    <row r="176" spans="1:16">
      <c r="A176" t="s">
        <v>731</v>
      </c>
      <c r="C176">
        <v>1</v>
      </c>
      <c r="D176">
        <v>0</v>
      </c>
      <c r="E176">
        <v>93</v>
      </c>
      <c r="F176">
        <v>320</v>
      </c>
      <c r="G176">
        <v>255</v>
      </c>
      <c r="H176">
        <v>100</v>
      </c>
      <c r="I176">
        <v>160</v>
      </c>
      <c r="J176">
        <v>320</v>
      </c>
      <c r="K176" s="10">
        <v>0.5381769256643121</v>
      </c>
      <c r="L176">
        <v>4970</v>
      </c>
      <c r="M176">
        <v>746</v>
      </c>
      <c r="N176">
        <v>0</v>
      </c>
      <c r="O176">
        <v>2160</v>
      </c>
      <c r="P176">
        <v>319</v>
      </c>
    </row>
    <row r="177" spans="1:16">
      <c r="A177" t="s">
        <v>731</v>
      </c>
      <c r="C177">
        <v>1</v>
      </c>
      <c r="D177">
        <v>5</v>
      </c>
      <c r="E177">
        <v>93</v>
      </c>
      <c r="F177">
        <v>480</v>
      </c>
      <c r="G177">
        <v>383</v>
      </c>
      <c r="H177">
        <v>100</v>
      </c>
      <c r="I177">
        <v>160</v>
      </c>
      <c r="J177">
        <v>320</v>
      </c>
      <c r="K177" s="10">
        <v>0.4428452809299752</v>
      </c>
      <c r="L177">
        <v>6220</v>
      </c>
      <c r="M177">
        <v>933</v>
      </c>
      <c r="N177">
        <v>0</v>
      </c>
      <c r="O177">
        <v>2160</v>
      </c>
      <c r="P177">
        <v>319</v>
      </c>
    </row>
    <row r="179" spans="1:16">
      <c r="A179" s="4" t="s">
        <v>822</v>
      </c>
    </row>
    <row r="180" spans="1:16" ht="32" customHeight="1">
      <c r="A180" s="5" t="s">
        <v>20</v>
      </c>
      <c r="B180" s="5" t="s">
        <v>823</v>
      </c>
      <c r="C180" s="5" t="s">
        <v>824</v>
      </c>
      <c r="D180" s="5" t="s">
        <v>21</v>
      </c>
      <c r="E180" s="5" t="s">
        <v>22</v>
      </c>
    </row>
    <row r="181" spans="1:16">
      <c r="A181" t="s">
        <v>720</v>
      </c>
      <c r="B181" t="s">
        <v>825</v>
      </c>
      <c r="C181">
        <v>2</v>
      </c>
      <c r="D181">
        <v>1</v>
      </c>
      <c r="E181">
        <v>1</v>
      </c>
    </row>
    <row r="182" spans="1:16">
      <c r="A182" t="s">
        <v>720</v>
      </c>
      <c r="B182" t="s">
        <v>826</v>
      </c>
      <c r="C182">
        <v>3</v>
      </c>
      <c r="D182">
        <v>1</v>
      </c>
      <c r="E182">
        <v>2</v>
      </c>
    </row>
    <row r="183" spans="1:16">
      <c r="A183" t="s">
        <v>720</v>
      </c>
      <c r="B183" t="s">
        <v>827</v>
      </c>
      <c r="C183">
        <v>4</v>
      </c>
      <c r="D183">
        <v>3</v>
      </c>
      <c r="E183">
        <v>3</v>
      </c>
    </row>
    <row r="184" spans="1:16">
      <c r="A184" t="s">
        <v>720</v>
      </c>
      <c r="B184" t="s">
        <v>828</v>
      </c>
      <c r="C184">
        <v>5</v>
      </c>
      <c r="D184">
        <v>8</v>
      </c>
      <c r="E184">
        <v>7</v>
      </c>
    </row>
    <row r="185" spans="1:16">
      <c r="A185" t="s">
        <v>720</v>
      </c>
      <c r="B185" t="s">
        <v>829</v>
      </c>
      <c r="C185">
        <v>6</v>
      </c>
      <c r="D185">
        <v>10</v>
      </c>
      <c r="E185">
        <v>9</v>
      </c>
    </row>
    <row r="186" spans="1:16">
      <c r="A186" t="s">
        <v>720</v>
      </c>
      <c r="B186" t="s">
        <v>830</v>
      </c>
      <c r="C186">
        <v>7</v>
      </c>
      <c r="D186">
        <v>15</v>
      </c>
      <c r="E186">
        <v>13</v>
      </c>
    </row>
    <row r="187" spans="1:16">
      <c r="A187" t="s">
        <v>720</v>
      </c>
      <c r="B187" t="s">
        <v>831</v>
      </c>
      <c r="C187">
        <v>8</v>
      </c>
      <c r="D187">
        <v>20</v>
      </c>
      <c r="E187">
        <v>18</v>
      </c>
    </row>
    <row r="188" spans="1:16">
      <c r="A188" t="s">
        <v>720</v>
      </c>
      <c r="B188" t="s">
        <v>832</v>
      </c>
      <c r="C188">
        <v>9</v>
      </c>
      <c r="D188">
        <v>27</v>
      </c>
      <c r="E188">
        <v>23</v>
      </c>
    </row>
    <row r="189" spans="1:16">
      <c r="A189" t="s">
        <v>720</v>
      </c>
      <c r="B189" t="s">
        <v>833</v>
      </c>
      <c r="C189">
        <v>10</v>
      </c>
      <c r="D189">
        <v>34</v>
      </c>
      <c r="E189">
        <v>29</v>
      </c>
    </row>
    <row r="190" spans="1:16">
      <c r="A190" t="s">
        <v>720</v>
      </c>
      <c r="B190" t="s">
        <v>834</v>
      </c>
      <c r="C190">
        <v>11</v>
      </c>
      <c r="D190">
        <v>41</v>
      </c>
      <c r="E190">
        <v>35</v>
      </c>
    </row>
    <row r="191" spans="1:16">
      <c r="A191" t="s">
        <v>720</v>
      </c>
      <c r="B191" t="s">
        <v>835</v>
      </c>
      <c r="C191">
        <v>12</v>
      </c>
      <c r="D191">
        <v>50</v>
      </c>
      <c r="E191">
        <v>43</v>
      </c>
    </row>
    <row r="192" spans="1:16">
      <c r="A192" t="s">
        <v>720</v>
      </c>
      <c r="B192" t="s">
        <v>836</v>
      </c>
      <c r="C192">
        <v>13</v>
      </c>
      <c r="D192">
        <v>62</v>
      </c>
      <c r="E192">
        <v>54</v>
      </c>
    </row>
    <row r="193" spans="1:5">
      <c r="A193" t="s">
        <v>720</v>
      </c>
      <c r="B193" t="s">
        <v>837</v>
      </c>
      <c r="C193">
        <v>14</v>
      </c>
      <c r="D193">
        <v>73</v>
      </c>
      <c r="E193">
        <v>63</v>
      </c>
    </row>
    <row r="194" spans="1:5">
      <c r="A194" t="s">
        <v>720</v>
      </c>
      <c r="B194" t="s">
        <v>838</v>
      </c>
      <c r="C194">
        <v>15</v>
      </c>
      <c r="D194">
        <v>90</v>
      </c>
      <c r="E194">
        <v>77</v>
      </c>
    </row>
    <row r="195" spans="1:5">
      <c r="A195" t="s">
        <v>720</v>
      </c>
      <c r="B195" t="s">
        <v>839</v>
      </c>
      <c r="C195">
        <v>16</v>
      </c>
      <c r="D195">
        <v>106</v>
      </c>
      <c r="E195">
        <v>91</v>
      </c>
    </row>
    <row r="196" spans="1:5">
      <c r="A196" t="s">
        <v>720</v>
      </c>
      <c r="B196" t="s">
        <v>840</v>
      </c>
      <c r="C196">
        <v>17</v>
      </c>
      <c r="D196">
        <v>125</v>
      </c>
      <c r="E196">
        <v>107</v>
      </c>
    </row>
    <row r="197" spans="1:5">
      <c r="A197" t="s">
        <v>720</v>
      </c>
      <c r="B197" t="s">
        <v>841</v>
      </c>
      <c r="C197">
        <v>19</v>
      </c>
      <c r="D197">
        <v>167</v>
      </c>
      <c r="E197">
        <v>143</v>
      </c>
    </row>
    <row r="198" spans="1:5">
      <c r="A198" t="s">
        <v>720</v>
      </c>
      <c r="B198" t="s">
        <v>842</v>
      </c>
      <c r="C198">
        <v>20</v>
      </c>
      <c r="D198" t="s">
        <v>637</v>
      </c>
      <c r="E198" t="s">
        <v>637</v>
      </c>
    </row>
    <row r="199" spans="1:5">
      <c r="A199" t="s">
        <v>720</v>
      </c>
      <c r="B199" t="s">
        <v>843</v>
      </c>
      <c r="C199">
        <v>21</v>
      </c>
      <c r="D199" t="s">
        <v>637</v>
      </c>
      <c r="E199" t="s">
        <v>637</v>
      </c>
    </row>
    <row r="200" spans="1:5">
      <c r="A200" t="s">
        <v>720</v>
      </c>
      <c r="B200" t="s">
        <v>844</v>
      </c>
      <c r="C200">
        <v>23</v>
      </c>
      <c r="D200" t="s">
        <v>637</v>
      </c>
      <c r="E200" t="s">
        <v>637</v>
      </c>
    </row>
    <row r="201" spans="1:5">
      <c r="A201" t="s">
        <v>720</v>
      </c>
      <c r="B201" t="s">
        <v>845</v>
      </c>
      <c r="C201">
        <v>25</v>
      </c>
      <c r="D201" t="s">
        <v>637</v>
      </c>
      <c r="E201" t="s">
        <v>637</v>
      </c>
    </row>
    <row r="202" spans="1:5">
      <c r="A202" t="s">
        <v>720</v>
      </c>
      <c r="B202" t="s">
        <v>846</v>
      </c>
      <c r="C202">
        <v>27</v>
      </c>
      <c r="D202" t="s">
        <v>637</v>
      </c>
      <c r="E202" t="s">
        <v>637</v>
      </c>
    </row>
    <row r="203" spans="1:5">
      <c r="A203" t="s">
        <v>720</v>
      </c>
      <c r="B203" t="s">
        <v>847</v>
      </c>
      <c r="C203">
        <v>30</v>
      </c>
      <c r="D203" t="s">
        <v>637</v>
      </c>
      <c r="E203" t="s">
        <v>637</v>
      </c>
    </row>
    <row r="204" spans="1:5">
      <c r="A204" t="s">
        <v>729</v>
      </c>
      <c r="B204" t="s">
        <v>825</v>
      </c>
      <c r="C204">
        <v>2</v>
      </c>
      <c r="D204">
        <v>1</v>
      </c>
      <c r="E204">
        <v>1</v>
      </c>
    </row>
    <row r="205" spans="1:5">
      <c r="A205" t="s">
        <v>729</v>
      </c>
      <c r="B205" t="s">
        <v>826</v>
      </c>
      <c r="C205">
        <v>3</v>
      </c>
      <c r="D205">
        <v>1</v>
      </c>
      <c r="E205">
        <v>2</v>
      </c>
    </row>
    <row r="206" spans="1:5">
      <c r="A206" t="s">
        <v>729</v>
      </c>
      <c r="B206" t="s">
        <v>827</v>
      </c>
      <c r="C206">
        <v>4</v>
      </c>
      <c r="D206">
        <v>1</v>
      </c>
      <c r="E206">
        <v>3</v>
      </c>
    </row>
    <row r="207" spans="1:5">
      <c r="A207" t="s">
        <v>729</v>
      </c>
      <c r="B207" t="s">
        <v>828</v>
      </c>
      <c r="C207">
        <v>5</v>
      </c>
      <c r="D207">
        <v>2</v>
      </c>
      <c r="E207">
        <v>6</v>
      </c>
    </row>
    <row r="208" spans="1:5">
      <c r="A208" t="s">
        <v>729</v>
      </c>
      <c r="B208" t="s">
        <v>829</v>
      </c>
      <c r="C208">
        <v>6</v>
      </c>
      <c r="D208">
        <v>3</v>
      </c>
      <c r="E208">
        <v>8</v>
      </c>
    </row>
    <row r="209" spans="1:5">
      <c r="A209" t="s">
        <v>729</v>
      </c>
      <c r="B209" t="s">
        <v>830</v>
      </c>
      <c r="C209">
        <v>7</v>
      </c>
      <c r="D209">
        <v>4</v>
      </c>
      <c r="E209">
        <v>11</v>
      </c>
    </row>
    <row r="210" spans="1:5">
      <c r="A210" t="s">
        <v>729</v>
      </c>
      <c r="B210" t="s">
        <v>831</v>
      </c>
      <c r="C210">
        <v>8</v>
      </c>
      <c r="D210">
        <v>5</v>
      </c>
      <c r="E210">
        <v>15</v>
      </c>
    </row>
    <row r="211" spans="1:5">
      <c r="A211" t="s">
        <v>729</v>
      </c>
      <c r="B211" t="s">
        <v>832</v>
      </c>
      <c r="C211">
        <v>9</v>
      </c>
      <c r="D211">
        <v>7</v>
      </c>
      <c r="E211">
        <v>20</v>
      </c>
    </row>
    <row r="212" spans="1:5">
      <c r="A212" t="s">
        <v>729</v>
      </c>
      <c r="B212" t="s">
        <v>833</v>
      </c>
      <c r="C212">
        <v>10</v>
      </c>
      <c r="D212">
        <v>9</v>
      </c>
      <c r="E212">
        <v>26</v>
      </c>
    </row>
    <row r="213" spans="1:5">
      <c r="A213" t="s">
        <v>729</v>
      </c>
      <c r="B213" t="s">
        <v>834</v>
      </c>
      <c r="C213">
        <v>11</v>
      </c>
      <c r="D213">
        <v>11</v>
      </c>
      <c r="E213">
        <v>33</v>
      </c>
    </row>
    <row r="214" spans="1:5">
      <c r="A214" t="s">
        <v>729</v>
      </c>
      <c r="B214" t="s">
        <v>835</v>
      </c>
      <c r="C214">
        <v>12</v>
      </c>
      <c r="D214">
        <v>13</v>
      </c>
      <c r="E214">
        <v>39</v>
      </c>
    </row>
    <row r="215" spans="1:5">
      <c r="A215" t="s">
        <v>729</v>
      </c>
      <c r="B215" t="s">
        <v>836</v>
      </c>
      <c r="C215">
        <v>13</v>
      </c>
      <c r="D215">
        <v>16</v>
      </c>
      <c r="E215">
        <v>47</v>
      </c>
    </row>
    <row r="216" spans="1:5">
      <c r="A216" t="s">
        <v>729</v>
      </c>
      <c r="B216" t="s">
        <v>837</v>
      </c>
      <c r="C216">
        <v>14</v>
      </c>
      <c r="D216">
        <v>19</v>
      </c>
      <c r="E216">
        <v>57</v>
      </c>
    </row>
    <row r="217" spans="1:5">
      <c r="A217" t="s">
        <v>729</v>
      </c>
      <c r="B217" t="s">
        <v>838</v>
      </c>
      <c r="C217">
        <v>15</v>
      </c>
      <c r="D217">
        <v>23</v>
      </c>
      <c r="E217">
        <v>69</v>
      </c>
    </row>
    <row r="218" spans="1:5">
      <c r="A218" t="s">
        <v>729</v>
      </c>
      <c r="B218" t="s">
        <v>839</v>
      </c>
      <c r="C218">
        <v>16</v>
      </c>
      <c r="D218">
        <v>28</v>
      </c>
      <c r="E218">
        <v>83</v>
      </c>
    </row>
    <row r="219" spans="1:5">
      <c r="A219" t="s">
        <v>729</v>
      </c>
      <c r="B219" t="s">
        <v>840</v>
      </c>
      <c r="C219">
        <v>17</v>
      </c>
      <c r="D219">
        <v>32</v>
      </c>
      <c r="E219">
        <v>96</v>
      </c>
    </row>
    <row r="220" spans="1:5">
      <c r="A220" t="s">
        <v>729</v>
      </c>
      <c r="B220" t="s">
        <v>841</v>
      </c>
      <c r="C220">
        <v>19</v>
      </c>
      <c r="D220">
        <v>44</v>
      </c>
      <c r="E220">
        <v>131</v>
      </c>
    </row>
    <row r="221" spans="1:5">
      <c r="A221" t="s">
        <v>729</v>
      </c>
      <c r="B221" t="s">
        <v>842</v>
      </c>
      <c r="C221">
        <v>20</v>
      </c>
      <c r="D221">
        <v>50</v>
      </c>
      <c r="E221">
        <v>150</v>
      </c>
    </row>
    <row r="222" spans="1:5">
      <c r="A222" t="s">
        <v>729</v>
      </c>
      <c r="B222" t="s">
        <v>843</v>
      </c>
      <c r="C222">
        <v>21</v>
      </c>
      <c r="D222">
        <v>57</v>
      </c>
      <c r="E222">
        <v>170</v>
      </c>
    </row>
    <row r="223" spans="1:5">
      <c r="A223" t="s">
        <v>729</v>
      </c>
      <c r="B223" t="s">
        <v>844</v>
      </c>
      <c r="C223">
        <v>23</v>
      </c>
      <c r="D223">
        <v>71</v>
      </c>
      <c r="E223">
        <v>213</v>
      </c>
    </row>
    <row r="224" spans="1:5">
      <c r="A224" t="s">
        <v>729</v>
      </c>
      <c r="B224" t="s">
        <v>845</v>
      </c>
      <c r="C224">
        <v>25</v>
      </c>
      <c r="D224">
        <v>91</v>
      </c>
      <c r="E224">
        <v>272</v>
      </c>
    </row>
    <row r="225" spans="1:5">
      <c r="A225" t="s">
        <v>729</v>
      </c>
      <c r="B225" t="s">
        <v>846</v>
      </c>
      <c r="C225">
        <v>27</v>
      </c>
      <c r="D225">
        <v>113</v>
      </c>
      <c r="E225">
        <v>339</v>
      </c>
    </row>
    <row r="226" spans="1:5">
      <c r="A226" t="s">
        <v>729</v>
      </c>
      <c r="B226" t="s">
        <v>847</v>
      </c>
      <c r="C226">
        <v>30</v>
      </c>
      <c r="D226">
        <v>151</v>
      </c>
      <c r="E226">
        <v>453</v>
      </c>
    </row>
    <row r="227" spans="1:5">
      <c r="A227" t="s">
        <v>733</v>
      </c>
      <c r="B227" t="s">
        <v>825</v>
      </c>
      <c r="C227">
        <v>2</v>
      </c>
      <c r="D227">
        <v>1</v>
      </c>
      <c r="E227">
        <v>1</v>
      </c>
    </row>
    <row r="228" spans="1:5">
      <c r="A228" t="s">
        <v>733</v>
      </c>
      <c r="B228" t="s">
        <v>826</v>
      </c>
      <c r="C228">
        <v>3</v>
      </c>
      <c r="D228">
        <v>1</v>
      </c>
      <c r="E228">
        <v>2</v>
      </c>
    </row>
    <row r="229" spans="1:5">
      <c r="A229" t="s">
        <v>733</v>
      </c>
      <c r="B229" t="s">
        <v>827</v>
      </c>
      <c r="C229">
        <v>4</v>
      </c>
      <c r="D229">
        <v>1</v>
      </c>
      <c r="E229">
        <v>3</v>
      </c>
    </row>
    <row r="230" spans="1:5">
      <c r="A230" t="s">
        <v>733</v>
      </c>
      <c r="B230" t="s">
        <v>828</v>
      </c>
      <c r="C230">
        <v>5</v>
      </c>
      <c r="D230">
        <v>1</v>
      </c>
      <c r="E230">
        <v>5</v>
      </c>
    </row>
    <row r="231" spans="1:5">
      <c r="A231" t="s">
        <v>733</v>
      </c>
      <c r="B231" t="s">
        <v>829</v>
      </c>
      <c r="C231">
        <v>6</v>
      </c>
      <c r="D231">
        <v>2</v>
      </c>
      <c r="E231">
        <v>7</v>
      </c>
    </row>
    <row r="232" spans="1:5">
      <c r="A232" t="s">
        <v>733</v>
      </c>
      <c r="B232" t="s">
        <v>830</v>
      </c>
      <c r="C232">
        <v>7</v>
      </c>
      <c r="D232">
        <v>2</v>
      </c>
      <c r="E232">
        <v>10</v>
      </c>
    </row>
    <row r="233" spans="1:5">
      <c r="A233" t="s">
        <v>733</v>
      </c>
      <c r="B233" t="s">
        <v>831</v>
      </c>
      <c r="C233">
        <v>8</v>
      </c>
      <c r="D233">
        <v>3</v>
      </c>
      <c r="E233">
        <v>13</v>
      </c>
    </row>
    <row r="234" spans="1:5">
      <c r="A234" t="s">
        <v>733</v>
      </c>
      <c r="B234" t="s">
        <v>832</v>
      </c>
      <c r="C234">
        <v>9</v>
      </c>
      <c r="D234">
        <v>3</v>
      </c>
      <c r="E234">
        <v>18</v>
      </c>
    </row>
    <row r="235" spans="1:5">
      <c r="A235" t="s">
        <v>733</v>
      </c>
      <c r="B235" t="s">
        <v>833</v>
      </c>
      <c r="C235">
        <v>10</v>
      </c>
      <c r="D235">
        <v>4</v>
      </c>
      <c r="E235">
        <v>24</v>
      </c>
    </row>
    <row r="236" spans="1:5">
      <c r="A236" t="s">
        <v>733</v>
      </c>
      <c r="B236" t="s">
        <v>834</v>
      </c>
      <c r="C236">
        <v>11</v>
      </c>
      <c r="D236">
        <v>5</v>
      </c>
      <c r="E236">
        <v>29</v>
      </c>
    </row>
    <row r="237" spans="1:5">
      <c r="A237" t="s">
        <v>733</v>
      </c>
      <c r="B237" t="s">
        <v>835</v>
      </c>
      <c r="C237">
        <v>12</v>
      </c>
      <c r="D237">
        <v>7</v>
      </c>
      <c r="E237">
        <v>37</v>
      </c>
    </row>
    <row r="238" spans="1:5">
      <c r="A238" t="s">
        <v>733</v>
      </c>
      <c r="B238" t="s">
        <v>836</v>
      </c>
      <c r="C238">
        <v>13</v>
      </c>
      <c r="D238">
        <v>8</v>
      </c>
      <c r="E238">
        <v>44</v>
      </c>
    </row>
    <row r="239" spans="1:5">
      <c r="A239" t="s">
        <v>733</v>
      </c>
      <c r="B239" t="s">
        <v>837</v>
      </c>
      <c r="C239">
        <v>14</v>
      </c>
      <c r="D239">
        <v>9</v>
      </c>
      <c r="E239">
        <v>53</v>
      </c>
    </row>
    <row r="240" spans="1:5">
      <c r="A240" t="s">
        <v>733</v>
      </c>
      <c r="B240" t="s">
        <v>838</v>
      </c>
      <c r="C240">
        <v>15</v>
      </c>
      <c r="D240">
        <v>11</v>
      </c>
      <c r="E240">
        <v>65</v>
      </c>
    </row>
    <row r="241" spans="1:5">
      <c r="A241" t="s">
        <v>733</v>
      </c>
      <c r="B241" t="s">
        <v>839</v>
      </c>
      <c r="C241">
        <v>16</v>
      </c>
      <c r="D241">
        <v>13</v>
      </c>
      <c r="E241">
        <v>78</v>
      </c>
    </row>
    <row r="242" spans="1:5">
      <c r="A242" t="s">
        <v>733</v>
      </c>
      <c r="B242" t="s">
        <v>840</v>
      </c>
      <c r="C242">
        <v>17</v>
      </c>
      <c r="D242">
        <v>16</v>
      </c>
      <c r="E242">
        <v>92</v>
      </c>
    </row>
    <row r="243" spans="1:5">
      <c r="A243" t="s">
        <v>733</v>
      </c>
      <c r="B243" t="s">
        <v>841</v>
      </c>
      <c r="C243">
        <v>19</v>
      </c>
      <c r="D243">
        <v>21</v>
      </c>
      <c r="E243">
        <v>126</v>
      </c>
    </row>
    <row r="244" spans="1:5">
      <c r="A244" t="s">
        <v>733</v>
      </c>
      <c r="B244" t="s">
        <v>842</v>
      </c>
      <c r="C244">
        <v>20</v>
      </c>
      <c r="D244">
        <v>24</v>
      </c>
      <c r="E244">
        <v>143</v>
      </c>
    </row>
    <row r="245" spans="1:5">
      <c r="A245" t="s">
        <v>733</v>
      </c>
      <c r="B245" t="s">
        <v>843</v>
      </c>
      <c r="C245">
        <v>21</v>
      </c>
      <c r="D245">
        <v>27</v>
      </c>
      <c r="E245">
        <v>162</v>
      </c>
    </row>
    <row r="246" spans="1:5">
      <c r="A246" t="s">
        <v>733</v>
      </c>
      <c r="B246" t="s">
        <v>844</v>
      </c>
      <c r="C246">
        <v>23</v>
      </c>
      <c r="D246">
        <v>34</v>
      </c>
      <c r="E246">
        <v>202</v>
      </c>
    </row>
    <row r="247" spans="1:5">
      <c r="A247" t="s">
        <v>733</v>
      </c>
      <c r="B247" t="s">
        <v>845</v>
      </c>
      <c r="C247">
        <v>25</v>
      </c>
      <c r="D247">
        <v>42</v>
      </c>
      <c r="E247">
        <v>250</v>
      </c>
    </row>
    <row r="248" spans="1:5">
      <c r="A248" t="s">
        <v>733</v>
      </c>
      <c r="B248" t="s">
        <v>846</v>
      </c>
      <c r="C248">
        <v>27</v>
      </c>
      <c r="D248">
        <v>52</v>
      </c>
      <c r="E248">
        <v>308</v>
      </c>
    </row>
    <row r="249" spans="1:5">
      <c r="A249" t="s">
        <v>733</v>
      </c>
      <c r="B249" t="s">
        <v>847</v>
      </c>
      <c r="C249">
        <v>30</v>
      </c>
      <c r="D249">
        <v>69</v>
      </c>
      <c r="E249">
        <v>409</v>
      </c>
    </row>
    <row r="251" spans="1:5">
      <c r="A251" s="4" t="s">
        <v>848</v>
      </c>
    </row>
    <row r="252" spans="1:5" ht="32" customHeight="1">
      <c r="A252" s="5" t="s">
        <v>20</v>
      </c>
      <c r="B252" s="5" t="s">
        <v>849</v>
      </c>
      <c r="C252" s="5" t="s">
        <v>850</v>
      </c>
      <c r="D252" s="5" t="s">
        <v>851</v>
      </c>
      <c r="E252" s="5" t="s">
        <v>852</v>
      </c>
    </row>
    <row r="253" spans="1:5">
      <c r="A253" t="s">
        <v>720</v>
      </c>
      <c r="B253" t="s">
        <v>40</v>
      </c>
      <c r="C253" t="s">
        <v>675</v>
      </c>
      <c r="D253">
        <v>500</v>
      </c>
      <c r="E253" s="14">
        <v>0.001979171202267338</v>
      </c>
    </row>
    <row r="254" spans="1:5">
      <c r="A254" t="s">
        <v>720</v>
      </c>
      <c r="B254" t="s">
        <v>853</v>
      </c>
      <c r="C254" t="s">
        <v>675</v>
      </c>
      <c r="D254">
        <v>44686</v>
      </c>
      <c r="E254" s="14">
        <v>0.1768824886890366</v>
      </c>
    </row>
    <row r="255" spans="1:5">
      <c r="A255" t="s">
        <v>720</v>
      </c>
      <c r="B255" t="s">
        <v>854</v>
      </c>
      <c r="C255" t="s">
        <v>675</v>
      </c>
      <c r="D255">
        <v>5800</v>
      </c>
      <c r="E255" s="14">
        <v>0.02295838594630113</v>
      </c>
    </row>
    <row r="256" spans="1:5">
      <c r="A256" t="s">
        <v>720</v>
      </c>
      <c r="B256" t="s">
        <v>855</v>
      </c>
      <c r="C256" t="s">
        <v>675</v>
      </c>
      <c r="D256">
        <v>3065</v>
      </c>
      <c r="E256" s="14">
        <v>0.01213231946989879</v>
      </c>
    </row>
    <row r="257" spans="1:5">
      <c r="A257" t="s">
        <v>720</v>
      </c>
      <c r="B257" t="s">
        <v>856</v>
      </c>
      <c r="C257" t="s">
        <v>675</v>
      </c>
      <c r="D257">
        <v>7860</v>
      </c>
      <c r="E257" s="14">
        <v>0.03111257129964256</v>
      </c>
    </row>
    <row r="258" spans="1:5">
      <c r="A258" t="s">
        <v>720</v>
      </c>
      <c r="B258" t="s">
        <v>857</v>
      </c>
      <c r="C258" t="s">
        <v>675</v>
      </c>
      <c r="D258">
        <v>3315</v>
      </c>
      <c r="E258" s="14">
        <v>0.01312190507103245</v>
      </c>
    </row>
    <row r="259" spans="1:5">
      <c r="A259" t="s">
        <v>720</v>
      </c>
      <c r="B259" t="s">
        <v>858</v>
      </c>
      <c r="C259" t="s">
        <v>675</v>
      </c>
      <c r="D259">
        <v>10220</v>
      </c>
      <c r="E259" s="14">
        <v>0.0404542593743444</v>
      </c>
    </row>
    <row r="260" spans="1:5">
      <c r="A260" t="s">
        <v>720</v>
      </c>
      <c r="B260" t="s">
        <v>859</v>
      </c>
      <c r="C260" t="s">
        <v>675</v>
      </c>
      <c r="D260">
        <v>8390</v>
      </c>
      <c r="E260" s="14">
        <v>0.03321049277404594</v>
      </c>
    </row>
    <row r="261" spans="1:5">
      <c r="A261" t="s">
        <v>720</v>
      </c>
      <c r="B261" t="s">
        <v>860</v>
      </c>
      <c r="C261" t="s">
        <v>675</v>
      </c>
      <c r="D261">
        <v>1110</v>
      </c>
      <c r="E261" s="14">
        <v>0.004393760069033492</v>
      </c>
    </row>
    <row r="262" spans="1:5">
      <c r="A262" t="s">
        <v>720</v>
      </c>
      <c r="B262" t="s">
        <v>861</v>
      </c>
      <c r="C262" t="s">
        <v>675</v>
      </c>
      <c r="D262">
        <v>41345</v>
      </c>
      <c r="E262" s="14">
        <v>0.1636576667154862</v>
      </c>
    </row>
    <row r="263" spans="1:5">
      <c r="A263" t="s">
        <v>720</v>
      </c>
      <c r="B263" t="s">
        <v>862</v>
      </c>
      <c r="C263" t="s">
        <v>675</v>
      </c>
      <c r="D263">
        <v>8175</v>
      </c>
      <c r="E263" s="14">
        <v>0.03235944915707099</v>
      </c>
    </row>
    <row r="264" spans="1:5">
      <c r="A264" t="s">
        <v>720</v>
      </c>
      <c r="B264" t="s">
        <v>43</v>
      </c>
      <c r="C264" t="s">
        <v>675</v>
      </c>
      <c r="D264">
        <v>19250</v>
      </c>
      <c r="E264" s="14">
        <v>0.07619809128729253</v>
      </c>
    </row>
    <row r="265" spans="1:5">
      <c r="A265" t="s">
        <v>720</v>
      </c>
      <c r="B265" t="s">
        <v>44</v>
      </c>
      <c r="C265" t="s">
        <v>675</v>
      </c>
      <c r="D265">
        <v>12780</v>
      </c>
      <c r="E265" s="14">
        <v>0.05058761592995317</v>
      </c>
    </row>
    <row r="266" spans="1:5">
      <c r="A266" t="s">
        <v>720</v>
      </c>
      <c r="B266" t="s">
        <v>45</v>
      </c>
      <c r="C266" t="s">
        <v>675</v>
      </c>
      <c r="D266">
        <v>5700</v>
      </c>
      <c r="E266" s="14">
        <v>0.02256255170584766</v>
      </c>
    </row>
    <row r="267" spans="1:5">
      <c r="A267" t="s">
        <v>720</v>
      </c>
      <c r="B267" t="s">
        <v>46</v>
      </c>
      <c r="C267" t="s">
        <v>675</v>
      </c>
      <c r="D267">
        <v>3850</v>
      </c>
      <c r="E267" s="14">
        <v>0.01523961825745851</v>
      </c>
    </row>
    <row r="268" spans="1:5">
      <c r="A268" t="s">
        <v>720</v>
      </c>
      <c r="B268" t="s">
        <v>47</v>
      </c>
      <c r="C268" t="s">
        <v>675</v>
      </c>
      <c r="D268">
        <v>525</v>
      </c>
      <c r="E268" s="14">
        <v>0.002078129762380706</v>
      </c>
    </row>
    <row r="269" spans="1:5">
      <c r="A269" t="s">
        <v>720</v>
      </c>
      <c r="B269" t="s">
        <v>48</v>
      </c>
      <c r="C269" t="s">
        <v>675</v>
      </c>
      <c r="D269">
        <v>14300</v>
      </c>
      <c r="E269" s="14">
        <v>0.05660429638484588</v>
      </c>
    </row>
    <row r="270" spans="1:5">
      <c r="A270" t="s">
        <v>720</v>
      </c>
      <c r="B270" t="s">
        <v>49</v>
      </c>
      <c r="C270" t="s">
        <v>675</v>
      </c>
      <c r="D270">
        <v>28760</v>
      </c>
      <c r="E270" s="14">
        <v>0.1138419275544173</v>
      </c>
    </row>
    <row r="271" spans="1:5">
      <c r="A271" t="s">
        <v>720</v>
      </c>
      <c r="B271" t="s">
        <v>863</v>
      </c>
      <c r="C271" t="s">
        <v>675</v>
      </c>
      <c r="D271">
        <v>5560</v>
      </c>
      <c r="E271" s="14">
        <v>0.0220083837692128</v>
      </c>
    </row>
    <row r="272" spans="1:5">
      <c r="A272" t="s">
        <v>720</v>
      </c>
      <c r="B272" t="s">
        <v>864</v>
      </c>
      <c r="C272" t="s">
        <v>675</v>
      </c>
      <c r="D272">
        <v>1800</v>
      </c>
      <c r="E272" s="14">
        <v>0.007125016328162419</v>
      </c>
    </row>
    <row r="273" spans="1:5">
      <c r="A273" t="s">
        <v>720</v>
      </c>
      <c r="B273" t="s">
        <v>53</v>
      </c>
      <c r="C273" t="s">
        <v>675</v>
      </c>
      <c r="D273">
        <v>2800</v>
      </c>
      <c r="E273" s="14">
        <v>0.0110833587326971</v>
      </c>
    </row>
    <row r="274" spans="1:5">
      <c r="A274" t="s">
        <v>720</v>
      </c>
      <c r="B274" t="s">
        <v>54</v>
      </c>
      <c r="C274" t="s">
        <v>675</v>
      </c>
      <c r="D274">
        <v>22840</v>
      </c>
      <c r="E274" s="14">
        <v>0.09040854051957202</v>
      </c>
    </row>
    <row r="275" spans="1:5">
      <c r="A275" t="s">
        <v>720</v>
      </c>
      <c r="B275" t="s">
        <v>865</v>
      </c>
      <c r="C275" t="s">
        <v>676</v>
      </c>
      <c r="D275">
        <v>35600</v>
      </c>
      <c r="E275" s="14">
        <v>0.3977120386093485</v>
      </c>
    </row>
    <row r="276" spans="1:5">
      <c r="A276" t="s">
        <v>720</v>
      </c>
      <c r="B276" t="s">
        <v>866</v>
      </c>
      <c r="C276" t="s">
        <v>676</v>
      </c>
      <c r="D276">
        <v>22700</v>
      </c>
      <c r="E276" s="14">
        <v>0.2535972830458486</v>
      </c>
    </row>
    <row r="277" spans="1:5">
      <c r="A277" t="s">
        <v>720</v>
      </c>
      <c r="B277" t="s">
        <v>867</v>
      </c>
      <c r="C277" t="s">
        <v>676</v>
      </c>
      <c r="D277">
        <v>21472</v>
      </c>
      <c r="E277" s="14">
        <v>0.2398784520511216</v>
      </c>
    </row>
    <row r="278" spans="1:5">
      <c r="A278" t="s">
        <v>720</v>
      </c>
      <c r="B278" t="s">
        <v>868</v>
      </c>
      <c r="C278" t="s">
        <v>676</v>
      </c>
      <c r="D278">
        <v>9740</v>
      </c>
      <c r="E278" s="14">
        <v>0.1088122262936813</v>
      </c>
    </row>
    <row r="279" spans="1:5">
      <c r="A279" t="s">
        <v>720</v>
      </c>
      <c r="B279" t="s">
        <v>40</v>
      </c>
      <c r="C279" t="s">
        <v>712</v>
      </c>
      <c r="D279">
        <v>50</v>
      </c>
      <c r="E279" s="14">
        <v>0.03037667071688943</v>
      </c>
    </row>
    <row r="280" spans="1:5">
      <c r="A280" t="s">
        <v>720</v>
      </c>
      <c r="B280" t="s">
        <v>43</v>
      </c>
      <c r="C280" t="s">
        <v>712</v>
      </c>
      <c r="D280">
        <v>275</v>
      </c>
      <c r="E280" s="14">
        <v>0.1670716889428919</v>
      </c>
    </row>
    <row r="281" spans="1:5">
      <c r="A281" t="s">
        <v>720</v>
      </c>
      <c r="B281" t="s">
        <v>60</v>
      </c>
      <c r="C281" t="s">
        <v>712</v>
      </c>
      <c r="D281">
        <v>20</v>
      </c>
      <c r="E281" s="14">
        <v>0.01215066828675577</v>
      </c>
    </row>
    <row r="282" spans="1:5">
      <c r="A282" t="s">
        <v>720</v>
      </c>
      <c r="B282" t="s">
        <v>56</v>
      </c>
      <c r="C282" t="s">
        <v>712</v>
      </c>
      <c r="D282">
        <v>21</v>
      </c>
      <c r="E282" s="14">
        <v>0.01275820170109356</v>
      </c>
    </row>
    <row r="283" spans="1:5">
      <c r="A283" t="s">
        <v>720</v>
      </c>
      <c r="B283" t="s">
        <v>45</v>
      </c>
      <c r="C283" t="s">
        <v>712</v>
      </c>
      <c r="D283">
        <v>160</v>
      </c>
      <c r="E283" s="14">
        <v>0.09720534629404617</v>
      </c>
    </row>
    <row r="284" spans="1:5">
      <c r="A284" t="s">
        <v>720</v>
      </c>
      <c r="B284" t="s">
        <v>57</v>
      </c>
      <c r="C284" t="s">
        <v>712</v>
      </c>
      <c r="D284">
        <v>36</v>
      </c>
      <c r="E284" s="14">
        <v>0.02187120291616039</v>
      </c>
    </row>
    <row r="285" spans="1:5">
      <c r="A285" t="s">
        <v>720</v>
      </c>
      <c r="B285" t="s">
        <v>49</v>
      </c>
      <c r="C285" t="s">
        <v>712</v>
      </c>
      <c r="D285">
        <v>345</v>
      </c>
      <c r="E285" s="14">
        <v>0.2095990279465371</v>
      </c>
    </row>
    <row r="286" spans="1:5">
      <c r="A286" t="s">
        <v>720</v>
      </c>
      <c r="B286" t="s">
        <v>58</v>
      </c>
      <c r="C286" t="s">
        <v>712</v>
      </c>
      <c r="D286">
        <v>215</v>
      </c>
      <c r="E286" s="14">
        <v>0.1306196840826245</v>
      </c>
    </row>
    <row r="287" spans="1:5">
      <c r="A287" t="s">
        <v>720</v>
      </c>
      <c r="B287" t="s">
        <v>53</v>
      </c>
      <c r="C287" t="s">
        <v>712</v>
      </c>
      <c r="D287">
        <v>84</v>
      </c>
      <c r="E287" s="14">
        <v>0.05103280680437424</v>
      </c>
    </row>
    <row r="288" spans="1:5">
      <c r="A288" t="s">
        <v>720</v>
      </c>
      <c r="B288" t="s">
        <v>857</v>
      </c>
      <c r="C288" t="s">
        <v>712</v>
      </c>
      <c r="D288">
        <v>55</v>
      </c>
      <c r="E288" s="14">
        <v>0.03341433778857837</v>
      </c>
    </row>
    <row r="289" spans="1:5">
      <c r="A289" t="s">
        <v>720</v>
      </c>
      <c r="B289" t="s">
        <v>869</v>
      </c>
      <c r="C289" t="s">
        <v>712</v>
      </c>
      <c r="D289">
        <v>100</v>
      </c>
      <c r="E289" s="14">
        <v>0.06075334143377886</v>
      </c>
    </row>
    <row r="290" spans="1:5">
      <c r="A290" t="s">
        <v>720</v>
      </c>
      <c r="B290" t="s">
        <v>870</v>
      </c>
      <c r="C290" t="s">
        <v>712</v>
      </c>
      <c r="D290">
        <v>285</v>
      </c>
      <c r="E290" s="14">
        <v>0.1731470230862698</v>
      </c>
    </row>
    <row r="291" spans="1:5">
      <c r="A291" t="s">
        <v>720</v>
      </c>
      <c r="B291" t="s">
        <v>871</v>
      </c>
      <c r="C291" t="s">
        <v>713</v>
      </c>
      <c r="D291">
        <v>700</v>
      </c>
      <c r="E291" s="14">
        <v>0.5384615384615384</v>
      </c>
    </row>
    <row r="292" spans="1:5">
      <c r="A292" t="s">
        <v>720</v>
      </c>
      <c r="B292" t="s">
        <v>380</v>
      </c>
      <c r="C292" t="s">
        <v>713</v>
      </c>
      <c r="D292">
        <v>600</v>
      </c>
      <c r="E292" s="14">
        <v>0.4615384615384616</v>
      </c>
    </row>
    <row r="293" spans="1:5">
      <c r="A293" t="s">
        <v>720</v>
      </c>
      <c r="B293" t="s">
        <v>40</v>
      </c>
      <c r="C293" t="s">
        <v>715</v>
      </c>
      <c r="D293">
        <v>2</v>
      </c>
      <c r="E293" s="14">
        <v>0.01769911504424779</v>
      </c>
    </row>
    <row r="294" spans="1:5">
      <c r="A294" t="s">
        <v>720</v>
      </c>
      <c r="B294" t="s">
        <v>44</v>
      </c>
      <c r="C294" t="s">
        <v>715</v>
      </c>
      <c r="D294">
        <v>98</v>
      </c>
      <c r="E294" s="14">
        <v>0.8672566371681416</v>
      </c>
    </row>
    <row r="295" spans="1:5">
      <c r="A295" t="s">
        <v>720</v>
      </c>
      <c r="B295" t="s">
        <v>43</v>
      </c>
      <c r="C295" t="s">
        <v>715</v>
      </c>
      <c r="D295">
        <v>11</v>
      </c>
      <c r="E295" s="14">
        <v>0.09734513274336283</v>
      </c>
    </row>
    <row r="296" spans="1:5">
      <c r="A296" t="s">
        <v>720</v>
      </c>
      <c r="B296" t="s">
        <v>60</v>
      </c>
      <c r="C296" t="s">
        <v>715</v>
      </c>
      <c r="D296">
        <v>2</v>
      </c>
      <c r="E296" s="14">
        <v>0.01769911504424779</v>
      </c>
    </row>
    <row r="297" spans="1:5">
      <c r="A297" t="s">
        <v>720</v>
      </c>
      <c r="B297" t="s">
        <v>872</v>
      </c>
      <c r="C297" t="s">
        <v>716</v>
      </c>
      <c r="D297">
        <v>113</v>
      </c>
      <c r="E297" s="14">
        <v>1</v>
      </c>
    </row>
    <row r="298" spans="1:5">
      <c r="A298" t="s">
        <v>729</v>
      </c>
      <c r="B298" t="s">
        <v>40</v>
      </c>
      <c r="C298" t="s">
        <v>675</v>
      </c>
      <c r="D298">
        <v>500</v>
      </c>
      <c r="E298" s="14">
        <v>0.0005861362368177961</v>
      </c>
    </row>
    <row r="299" spans="1:5">
      <c r="A299" t="s">
        <v>729</v>
      </c>
      <c r="B299" t="s">
        <v>853</v>
      </c>
      <c r="C299" t="s">
        <v>675</v>
      </c>
      <c r="D299">
        <v>246110</v>
      </c>
      <c r="E299" s="14">
        <v>0.2885079784864555</v>
      </c>
    </row>
    <row r="300" spans="1:5">
      <c r="A300" t="s">
        <v>729</v>
      </c>
      <c r="B300" t="s">
        <v>854</v>
      </c>
      <c r="C300" t="s">
        <v>675</v>
      </c>
      <c r="D300">
        <v>36880</v>
      </c>
      <c r="E300" s="14">
        <v>0.04323340882768063</v>
      </c>
    </row>
    <row r="301" spans="1:5">
      <c r="A301" t="s">
        <v>729</v>
      </c>
      <c r="B301" t="s">
        <v>855</v>
      </c>
      <c r="C301" t="s">
        <v>675</v>
      </c>
      <c r="D301">
        <v>48955</v>
      </c>
      <c r="E301" s="14">
        <v>0.05738859894683041</v>
      </c>
    </row>
    <row r="302" spans="1:5">
      <c r="A302" t="s">
        <v>729</v>
      </c>
      <c r="B302" t="s">
        <v>856</v>
      </c>
      <c r="C302" t="s">
        <v>675</v>
      </c>
      <c r="D302">
        <v>38560</v>
      </c>
      <c r="E302" s="14">
        <v>0.04520282658338843</v>
      </c>
    </row>
    <row r="303" spans="1:5">
      <c r="A303" t="s">
        <v>729</v>
      </c>
      <c r="B303" t="s">
        <v>857</v>
      </c>
      <c r="C303" t="s">
        <v>675</v>
      </c>
      <c r="D303">
        <v>13965</v>
      </c>
      <c r="E303" s="14">
        <v>0.01637078509432104</v>
      </c>
    </row>
    <row r="304" spans="1:5">
      <c r="A304" t="s">
        <v>729</v>
      </c>
      <c r="B304" t="s">
        <v>858</v>
      </c>
      <c r="C304" t="s">
        <v>675</v>
      </c>
      <c r="D304">
        <v>60560</v>
      </c>
      <c r="E304" s="14">
        <v>0.07099282100337145</v>
      </c>
    </row>
    <row r="305" spans="1:5">
      <c r="A305" t="s">
        <v>729</v>
      </c>
      <c r="B305" t="s">
        <v>859</v>
      </c>
      <c r="C305" t="s">
        <v>675</v>
      </c>
      <c r="D305">
        <v>30900</v>
      </c>
      <c r="E305" s="14">
        <v>0.03622321943533979</v>
      </c>
    </row>
    <row r="306" spans="1:5">
      <c r="A306" t="s">
        <v>729</v>
      </c>
      <c r="B306" t="s">
        <v>860</v>
      </c>
      <c r="C306" t="s">
        <v>675</v>
      </c>
      <c r="D306">
        <v>2830</v>
      </c>
      <c r="E306" s="14">
        <v>0.003317531100388725</v>
      </c>
    </row>
    <row r="307" spans="1:5">
      <c r="A307" t="s">
        <v>729</v>
      </c>
      <c r="B307" t="s">
        <v>861</v>
      </c>
      <c r="C307" t="s">
        <v>675</v>
      </c>
      <c r="D307">
        <v>30400</v>
      </c>
      <c r="E307" s="14">
        <v>0.035637083198522</v>
      </c>
    </row>
    <row r="308" spans="1:5">
      <c r="A308" t="s">
        <v>729</v>
      </c>
      <c r="B308" t="s">
        <v>862</v>
      </c>
      <c r="C308" t="s">
        <v>675</v>
      </c>
      <c r="D308">
        <v>37325</v>
      </c>
      <c r="E308" s="14">
        <v>0.04375507007844848</v>
      </c>
    </row>
    <row r="309" spans="1:5">
      <c r="A309" t="s">
        <v>729</v>
      </c>
      <c r="B309" t="s">
        <v>43</v>
      </c>
      <c r="C309" t="s">
        <v>675</v>
      </c>
      <c r="D309">
        <v>44750</v>
      </c>
      <c r="E309" s="14">
        <v>0.05245919319519275</v>
      </c>
    </row>
    <row r="310" spans="1:5">
      <c r="A310" t="s">
        <v>729</v>
      </c>
      <c r="B310" t="s">
        <v>44</v>
      </c>
      <c r="C310" t="s">
        <v>675</v>
      </c>
      <c r="D310">
        <v>46640</v>
      </c>
      <c r="E310" s="14">
        <v>0.05467478817036402</v>
      </c>
    </row>
    <row r="311" spans="1:5">
      <c r="A311" t="s">
        <v>729</v>
      </c>
      <c r="B311" t="s">
        <v>45</v>
      </c>
      <c r="C311" t="s">
        <v>675</v>
      </c>
      <c r="D311">
        <v>28450</v>
      </c>
      <c r="E311" s="14">
        <v>0.03335115187493259</v>
      </c>
    </row>
    <row r="312" spans="1:5">
      <c r="A312" t="s">
        <v>729</v>
      </c>
      <c r="B312" t="s">
        <v>46</v>
      </c>
      <c r="C312" t="s">
        <v>675</v>
      </c>
      <c r="D312">
        <v>13500</v>
      </c>
      <c r="E312" s="14">
        <v>0.01582567839408049</v>
      </c>
    </row>
    <row r="313" spans="1:5">
      <c r="A313" t="s">
        <v>729</v>
      </c>
      <c r="B313" t="s">
        <v>47</v>
      </c>
      <c r="C313" t="s">
        <v>675</v>
      </c>
      <c r="D313">
        <v>2125</v>
      </c>
      <c r="E313" s="14">
        <v>0.002491079006475633</v>
      </c>
    </row>
    <row r="314" spans="1:5">
      <c r="A314" t="s">
        <v>729</v>
      </c>
      <c r="B314" t="s">
        <v>48</v>
      </c>
      <c r="C314" t="s">
        <v>675</v>
      </c>
      <c r="D314">
        <v>26800</v>
      </c>
      <c r="E314" s="14">
        <v>0.03141690229343386</v>
      </c>
    </row>
    <row r="315" spans="1:5">
      <c r="A315" t="s">
        <v>729</v>
      </c>
      <c r="B315" t="s">
        <v>49</v>
      </c>
      <c r="C315" t="s">
        <v>675</v>
      </c>
      <c r="D315">
        <v>51720</v>
      </c>
      <c r="E315" s="14">
        <v>0.06062993233643282</v>
      </c>
    </row>
    <row r="316" spans="1:5">
      <c r="A316" t="s">
        <v>729</v>
      </c>
      <c r="B316" t="s">
        <v>863</v>
      </c>
      <c r="C316" t="s">
        <v>675</v>
      </c>
      <c r="D316">
        <v>5560</v>
      </c>
      <c r="E316" s="14">
        <v>0.006517834953413892</v>
      </c>
    </row>
    <row r="317" spans="1:5">
      <c r="A317" t="s">
        <v>729</v>
      </c>
      <c r="B317" t="s">
        <v>864</v>
      </c>
      <c r="C317" t="s">
        <v>675</v>
      </c>
      <c r="D317">
        <v>14190</v>
      </c>
      <c r="E317" s="14">
        <v>0.01663454640088905</v>
      </c>
    </row>
    <row r="318" spans="1:5">
      <c r="A318" t="s">
        <v>729</v>
      </c>
      <c r="B318" t="s">
        <v>53</v>
      </c>
      <c r="C318" t="s">
        <v>675</v>
      </c>
      <c r="D318">
        <v>13700</v>
      </c>
      <c r="E318" s="14">
        <v>0.01606013288880761</v>
      </c>
    </row>
    <row r="319" spans="1:5">
      <c r="A319" t="s">
        <v>729</v>
      </c>
      <c r="B319" t="s">
        <v>54</v>
      </c>
      <c r="C319" t="s">
        <v>675</v>
      </c>
      <c r="D319">
        <v>58624</v>
      </c>
      <c r="E319" s="14">
        <v>0.06872330149441296</v>
      </c>
    </row>
    <row r="320" spans="1:5">
      <c r="A320" t="s">
        <v>729</v>
      </c>
      <c r="B320" t="s">
        <v>865</v>
      </c>
      <c r="C320" t="s">
        <v>676</v>
      </c>
      <c r="D320">
        <v>35600</v>
      </c>
      <c r="E320" s="14">
        <v>0.1656106660712126</v>
      </c>
    </row>
    <row r="321" spans="1:5">
      <c r="A321" t="s">
        <v>729</v>
      </c>
      <c r="B321" t="s">
        <v>866</v>
      </c>
      <c r="C321" t="s">
        <v>676</v>
      </c>
      <c r="D321">
        <v>24900</v>
      </c>
      <c r="E321" s="14">
        <v>0.1158344265498088</v>
      </c>
    </row>
    <row r="322" spans="1:5">
      <c r="A322" t="s">
        <v>729</v>
      </c>
      <c r="B322" t="s">
        <v>867</v>
      </c>
      <c r="C322" t="s">
        <v>676</v>
      </c>
      <c r="D322">
        <v>111972</v>
      </c>
      <c r="E322" s="14">
        <v>0.5208920646439836</v>
      </c>
    </row>
    <row r="323" spans="1:5">
      <c r="A323" t="s">
        <v>729</v>
      </c>
      <c r="B323" t="s">
        <v>868</v>
      </c>
      <c r="C323" t="s">
        <v>676</v>
      </c>
      <c r="D323">
        <v>42490</v>
      </c>
      <c r="E323" s="14">
        <v>0.197662842734995</v>
      </c>
    </row>
    <row r="324" spans="1:5">
      <c r="A324" t="s">
        <v>729</v>
      </c>
      <c r="B324" t="s">
        <v>40</v>
      </c>
      <c r="C324" t="s">
        <v>712</v>
      </c>
      <c r="D324">
        <v>50</v>
      </c>
      <c r="E324" s="14">
        <v>0.01094331363536879</v>
      </c>
    </row>
    <row r="325" spans="1:5">
      <c r="A325" t="s">
        <v>729</v>
      </c>
      <c r="B325" t="s">
        <v>43</v>
      </c>
      <c r="C325" t="s">
        <v>712</v>
      </c>
      <c r="D325">
        <v>630</v>
      </c>
      <c r="E325" s="14">
        <v>0.1378857518056467</v>
      </c>
    </row>
    <row r="326" spans="1:5">
      <c r="A326" t="s">
        <v>729</v>
      </c>
      <c r="B326" t="s">
        <v>60</v>
      </c>
      <c r="C326" t="s">
        <v>712</v>
      </c>
      <c r="D326">
        <v>20</v>
      </c>
      <c r="E326" s="14">
        <v>0.004377325454147516</v>
      </c>
    </row>
    <row r="327" spans="1:5">
      <c r="A327" t="s">
        <v>729</v>
      </c>
      <c r="B327" t="s">
        <v>56</v>
      </c>
      <c r="C327" t="s">
        <v>712</v>
      </c>
      <c r="D327">
        <v>108</v>
      </c>
      <c r="E327" s="14">
        <v>0.02363755745239659</v>
      </c>
    </row>
    <row r="328" spans="1:5">
      <c r="A328" t="s">
        <v>729</v>
      </c>
      <c r="B328" t="s">
        <v>45</v>
      </c>
      <c r="C328" t="s">
        <v>712</v>
      </c>
      <c r="D328">
        <v>780</v>
      </c>
      <c r="E328" s="14">
        <v>0.1707156927117531</v>
      </c>
    </row>
    <row r="329" spans="1:5">
      <c r="A329" t="s">
        <v>729</v>
      </c>
      <c r="B329" t="s">
        <v>57</v>
      </c>
      <c r="C329" t="s">
        <v>712</v>
      </c>
      <c r="D329">
        <v>60</v>
      </c>
      <c r="E329" s="14">
        <v>0.01313197636244255</v>
      </c>
    </row>
    <row r="330" spans="1:5">
      <c r="A330" t="s">
        <v>729</v>
      </c>
      <c r="B330" t="s">
        <v>49</v>
      </c>
      <c r="C330" t="s">
        <v>712</v>
      </c>
      <c r="D330">
        <v>510</v>
      </c>
      <c r="E330" s="14">
        <v>0.1116217990807617</v>
      </c>
    </row>
    <row r="331" spans="1:5">
      <c r="A331" t="s">
        <v>729</v>
      </c>
      <c r="B331" t="s">
        <v>58</v>
      </c>
      <c r="C331" t="s">
        <v>712</v>
      </c>
      <c r="D331">
        <v>215</v>
      </c>
      <c r="E331" s="14">
        <v>0.0470562486320858</v>
      </c>
    </row>
    <row r="332" spans="1:5">
      <c r="A332" t="s">
        <v>729</v>
      </c>
      <c r="B332" t="s">
        <v>864</v>
      </c>
      <c r="C332" t="s">
        <v>712</v>
      </c>
      <c r="D332">
        <v>130</v>
      </c>
      <c r="E332" s="14">
        <v>0.02845261545195885</v>
      </c>
    </row>
    <row r="333" spans="1:5">
      <c r="A333" t="s">
        <v>729</v>
      </c>
      <c r="B333" t="s">
        <v>53</v>
      </c>
      <c r="C333" t="s">
        <v>712</v>
      </c>
      <c r="D333">
        <v>411</v>
      </c>
      <c r="E333" s="14">
        <v>0.08995403808273145</v>
      </c>
    </row>
    <row r="334" spans="1:5">
      <c r="A334" t="s">
        <v>729</v>
      </c>
      <c r="B334" t="s">
        <v>857</v>
      </c>
      <c r="C334" t="s">
        <v>712</v>
      </c>
      <c r="D334">
        <v>180</v>
      </c>
      <c r="E334" s="14">
        <v>0.03939592908732764</v>
      </c>
    </row>
    <row r="335" spans="1:5">
      <c r="A335" t="s">
        <v>729</v>
      </c>
      <c r="B335" t="s">
        <v>869</v>
      </c>
      <c r="C335" t="s">
        <v>712</v>
      </c>
      <c r="D335">
        <v>240</v>
      </c>
      <c r="E335" s="14">
        <v>0.05252790544977019</v>
      </c>
    </row>
    <row r="336" spans="1:5">
      <c r="A336" t="s">
        <v>729</v>
      </c>
      <c r="B336" t="s">
        <v>870</v>
      </c>
      <c r="C336" t="s">
        <v>712</v>
      </c>
      <c r="D336">
        <v>1235</v>
      </c>
      <c r="E336" s="14">
        <v>0.2702998467936091</v>
      </c>
    </row>
    <row r="337" spans="1:5">
      <c r="A337" t="s">
        <v>729</v>
      </c>
      <c r="B337" t="s">
        <v>871</v>
      </c>
      <c r="C337" t="s">
        <v>713</v>
      </c>
      <c r="D337">
        <v>1700</v>
      </c>
      <c r="E337" s="14">
        <v>0.7391304347826086</v>
      </c>
    </row>
    <row r="338" spans="1:5">
      <c r="A338" t="s">
        <v>729</v>
      </c>
      <c r="B338" t="s">
        <v>380</v>
      </c>
      <c r="C338" t="s">
        <v>713</v>
      </c>
      <c r="D338">
        <v>600</v>
      </c>
      <c r="E338" s="14">
        <v>0.2608695652173913</v>
      </c>
    </row>
    <row r="339" spans="1:5">
      <c r="A339" t="s">
        <v>729</v>
      </c>
      <c r="B339" t="s">
        <v>40</v>
      </c>
      <c r="C339" t="s">
        <v>715</v>
      </c>
      <c r="D339">
        <v>2</v>
      </c>
      <c r="E339" s="14">
        <v>0.005571030640668524</v>
      </c>
    </row>
    <row r="340" spans="1:5">
      <c r="A340" t="s">
        <v>729</v>
      </c>
      <c r="B340" t="s">
        <v>44</v>
      </c>
      <c r="C340" t="s">
        <v>715</v>
      </c>
      <c r="D340">
        <v>329</v>
      </c>
      <c r="E340" s="14">
        <v>0.9164345403899722</v>
      </c>
    </row>
    <row r="341" spans="1:5">
      <c r="A341" t="s">
        <v>729</v>
      </c>
      <c r="B341" t="s">
        <v>43</v>
      </c>
      <c r="C341" t="s">
        <v>715</v>
      </c>
      <c r="D341">
        <v>26</v>
      </c>
      <c r="E341" s="14">
        <v>0.07242339832869081</v>
      </c>
    </row>
    <row r="342" spans="1:5">
      <c r="A342" t="s">
        <v>729</v>
      </c>
      <c r="B342" t="s">
        <v>60</v>
      </c>
      <c r="C342" t="s">
        <v>715</v>
      </c>
      <c r="D342">
        <v>2</v>
      </c>
      <c r="E342" s="14">
        <v>0.005571030640668524</v>
      </c>
    </row>
    <row r="343" spans="1:5">
      <c r="A343" t="s">
        <v>729</v>
      </c>
      <c r="B343" t="s">
        <v>872</v>
      </c>
      <c r="C343" t="s">
        <v>716</v>
      </c>
      <c r="D343">
        <v>359</v>
      </c>
      <c r="E343" s="14">
        <v>1</v>
      </c>
    </row>
    <row r="344" spans="1:5">
      <c r="A344" t="s">
        <v>733</v>
      </c>
      <c r="B344" t="s">
        <v>40</v>
      </c>
      <c r="C344" t="s">
        <v>675</v>
      </c>
      <c r="D344">
        <v>500</v>
      </c>
      <c r="E344" s="14">
        <v>0.0001831477009285955</v>
      </c>
    </row>
    <row r="345" spans="1:5">
      <c r="A345" t="s">
        <v>733</v>
      </c>
      <c r="B345" t="s">
        <v>853</v>
      </c>
      <c r="C345" t="s">
        <v>675</v>
      </c>
      <c r="D345">
        <v>692796</v>
      </c>
      <c r="E345" s="14">
        <v>0.2537679892250544</v>
      </c>
    </row>
    <row r="346" spans="1:5">
      <c r="A346" t="s">
        <v>733</v>
      </c>
      <c r="B346" t="s">
        <v>854</v>
      </c>
      <c r="C346" t="s">
        <v>675</v>
      </c>
      <c r="D346">
        <v>76200</v>
      </c>
      <c r="E346" s="14">
        <v>0.02791170962151795</v>
      </c>
    </row>
    <row r="347" spans="1:5">
      <c r="A347" t="s">
        <v>733</v>
      </c>
      <c r="B347" t="s">
        <v>855</v>
      </c>
      <c r="C347" t="s">
        <v>675</v>
      </c>
      <c r="D347">
        <v>318025</v>
      </c>
      <c r="E347" s="14">
        <v>0.1164910951756331</v>
      </c>
    </row>
    <row r="348" spans="1:5">
      <c r="A348" t="s">
        <v>733</v>
      </c>
      <c r="B348" t="s">
        <v>856</v>
      </c>
      <c r="C348" t="s">
        <v>675</v>
      </c>
      <c r="D348">
        <v>98670</v>
      </c>
      <c r="E348" s="14">
        <v>0.03614236730124903</v>
      </c>
    </row>
    <row r="349" spans="1:5">
      <c r="A349" t="s">
        <v>733</v>
      </c>
      <c r="B349" t="s">
        <v>857</v>
      </c>
      <c r="C349" t="s">
        <v>675</v>
      </c>
      <c r="D349">
        <v>45000</v>
      </c>
      <c r="E349" s="14">
        <v>0.01648329308357359</v>
      </c>
    </row>
    <row r="350" spans="1:5">
      <c r="A350" t="s">
        <v>733</v>
      </c>
      <c r="B350" t="s">
        <v>858</v>
      </c>
      <c r="C350" t="s">
        <v>675</v>
      </c>
      <c r="D350">
        <v>156640</v>
      </c>
      <c r="E350" s="14">
        <v>0.05737651174691039</v>
      </c>
    </row>
    <row r="351" spans="1:5">
      <c r="A351" t="s">
        <v>733</v>
      </c>
      <c r="B351" t="s">
        <v>859</v>
      </c>
      <c r="C351" t="s">
        <v>675</v>
      </c>
      <c r="D351">
        <v>56410</v>
      </c>
      <c r="E351" s="14">
        <v>0.02066272361876414</v>
      </c>
    </row>
    <row r="352" spans="1:5">
      <c r="A352" t="s">
        <v>733</v>
      </c>
      <c r="B352" t="s">
        <v>860</v>
      </c>
      <c r="C352" t="s">
        <v>675</v>
      </c>
      <c r="D352">
        <v>7490</v>
      </c>
      <c r="E352" s="14">
        <v>0.00274355255991036</v>
      </c>
    </row>
    <row r="353" spans="1:5">
      <c r="A353" t="s">
        <v>733</v>
      </c>
      <c r="B353" t="s">
        <v>861</v>
      </c>
      <c r="C353" t="s">
        <v>675</v>
      </c>
      <c r="D353">
        <v>28930</v>
      </c>
      <c r="E353" s="14">
        <v>0.01059692597572853</v>
      </c>
    </row>
    <row r="354" spans="1:5">
      <c r="A354" t="s">
        <v>733</v>
      </c>
      <c r="B354" t="s">
        <v>862</v>
      </c>
      <c r="C354" t="s">
        <v>675</v>
      </c>
      <c r="D354">
        <v>46150</v>
      </c>
      <c r="E354" s="14">
        <v>0.01690453279570936</v>
      </c>
    </row>
    <row r="355" spans="1:5">
      <c r="A355" t="s">
        <v>733</v>
      </c>
      <c r="B355" t="s">
        <v>43</v>
      </c>
      <c r="C355" t="s">
        <v>675</v>
      </c>
      <c r="D355">
        <v>44750</v>
      </c>
      <c r="E355" s="14">
        <v>0.01639171923310929</v>
      </c>
    </row>
    <row r="356" spans="1:5">
      <c r="A356" t="s">
        <v>733</v>
      </c>
      <c r="B356" t="s">
        <v>44</v>
      </c>
      <c r="C356" t="s">
        <v>675</v>
      </c>
      <c r="D356">
        <v>58000</v>
      </c>
      <c r="E356" s="14">
        <v>0.02124513330771707</v>
      </c>
    </row>
    <row r="357" spans="1:5">
      <c r="A357" t="s">
        <v>733</v>
      </c>
      <c r="B357" t="s">
        <v>45</v>
      </c>
      <c r="C357" t="s">
        <v>675</v>
      </c>
      <c r="D357">
        <v>28450</v>
      </c>
      <c r="E357" s="14">
        <v>0.01042110418283708</v>
      </c>
    </row>
    <row r="358" spans="1:5">
      <c r="A358" t="s">
        <v>733</v>
      </c>
      <c r="B358" t="s">
        <v>46</v>
      </c>
      <c r="C358" t="s">
        <v>675</v>
      </c>
      <c r="D358">
        <v>27000</v>
      </c>
      <c r="E358" s="14">
        <v>0.009889975850144155</v>
      </c>
    </row>
    <row r="359" spans="1:5">
      <c r="A359" t="s">
        <v>733</v>
      </c>
      <c r="B359" t="s">
        <v>47</v>
      </c>
      <c r="C359" t="s">
        <v>675</v>
      </c>
      <c r="D359">
        <v>4850</v>
      </c>
      <c r="E359" s="14">
        <v>0.001776532699007376</v>
      </c>
    </row>
    <row r="360" spans="1:5">
      <c r="A360" t="s">
        <v>733</v>
      </c>
      <c r="B360" t="s">
        <v>48</v>
      </c>
      <c r="C360" t="s">
        <v>675</v>
      </c>
      <c r="D360">
        <v>29000</v>
      </c>
      <c r="E360" s="14">
        <v>0.01062256665385854</v>
      </c>
    </row>
    <row r="361" spans="1:5">
      <c r="A361" t="s">
        <v>733</v>
      </c>
      <c r="B361" t="s">
        <v>49</v>
      </c>
      <c r="C361" t="s">
        <v>675</v>
      </c>
      <c r="D361">
        <v>51720</v>
      </c>
      <c r="E361" s="14">
        <v>0.01894479818405392</v>
      </c>
    </row>
    <row r="362" spans="1:5">
      <c r="A362" t="s">
        <v>733</v>
      </c>
      <c r="B362" t="s">
        <v>863</v>
      </c>
      <c r="C362" t="s">
        <v>675</v>
      </c>
      <c r="D362">
        <v>5560</v>
      </c>
      <c r="E362" s="14">
        <v>0.002036602434325982</v>
      </c>
    </row>
    <row r="363" spans="1:5">
      <c r="A363" t="s">
        <v>733</v>
      </c>
      <c r="B363" t="s">
        <v>864</v>
      </c>
      <c r="C363" t="s">
        <v>675</v>
      </c>
      <c r="D363">
        <v>14190</v>
      </c>
      <c r="E363" s="14">
        <v>0.005197731752353539</v>
      </c>
    </row>
    <row r="364" spans="1:5">
      <c r="A364" t="s">
        <v>733</v>
      </c>
      <c r="B364" t="s">
        <v>53</v>
      </c>
      <c r="C364" t="s">
        <v>675</v>
      </c>
      <c r="D364">
        <v>15300</v>
      </c>
      <c r="E364" s="14">
        <v>0.005604319648415021</v>
      </c>
    </row>
    <row r="365" spans="1:5">
      <c r="A365" t="s">
        <v>733</v>
      </c>
      <c r="B365" t="s">
        <v>54</v>
      </c>
      <c r="C365" t="s">
        <v>675</v>
      </c>
      <c r="D365">
        <v>119360</v>
      </c>
      <c r="E365" s="14">
        <v>0.04372101916567431</v>
      </c>
    </row>
    <row r="366" spans="1:5">
      <c r="A366" t="s">
        <v>733</v>
      </c>
      <c r="B366" t="s">
        <v>873</v>
      </c>
      <c r="C366" t="s">
        <v>675</v>
      </c>
      <c r="D366">
        <v>44750</v>
      </c>
      <c r="E366" s="14">
        <v>0.01639171923310929</v>
      </c>
    </row>
    <row r="367" spans="1:5">
      <c r="A367" t="s">
        <v>733</v>
      </c>
      <c r="B367" t="s">
        <v>874</v>
      </c>
      <c r="C367" t="s">
        <v>675</v>
      </c>
      <c r="D367">
        <v>692796</v>
      </c>
      <c r="E367" s="14">
        <v>0.2537679892250544</v>
      </c>
    </row>
    <row r="368" spans="1:5">
      <c r="A368" t="s">
        <v>733</v>
      </c>
      <c r="B368" t="s">
        <v>875</v>
      </c>
      <c r="C368" t="s">
        <v>675</v>
      </c>
      <c r="D368">
        <v>67500</v>
      </c>
      <c r="E368" s="14">
        <v>0.02472493962536039</v>
      </c>
    </row>
    <row r="369" spans="1:5">
      <c r="A369" t="s">
        <v>733</v>
      </c>
      <c r="B369" t="s">
        <v>865</v>
      </c>
      <c r="C369" t="s">
        <v>676</v>
      </c>
      <c r="D369">
        <v>35600</v>
      </c>
      <c r="E369" s="14">
        <v>0.09436763084231063</v>
      </c>
    </row>
    <row r="370" spans="1:5">
      <c r="A370" t="s">
        <v>733</v>
      </c>
      <c r="B370" t="s">
        <v>866</v>
      </c>
      <c r="C370" t="s">
        <v>676</v>
      </c>
      <c r="D370">
        <v>24900</v>
      </c>
      <c r="E370" s="14">
        <v>0.06600432606667232</v>
      </c>
    </row>
    <row r="371" spans="1:5">
      <c r="A371" t="s">
        <v>733</v>
      </c>
      <c r="B371" t="s">
        <v>867</v>
      </c>
      <c r="C371" t="s">
        <v>676</v>
      </c>
      <c r="D371">
        <v>206378</v>
      </c>
      <c r="E371" s="14">
        <v>0.5470618797183815</v>
      </c>
    </row>
    <row r="372" spans="1:5">
      <c r="A372" t="s">
        <v>733</v>
      </c>
      <c r="B372" t="s">
        <v>876</v>
      </c>
      <c r="C372" t="s">
        <v>676</v>
      </c>
      <c r="D372">
        <v>36980</v>
      </c>
      <c r="E372" s="14">
        <v>0.09802570192552379</v>
      </c>
    </row>
    <row r="373" spans="1:5">
      <c r="A373" t="s">
        <v>733</v>
      </c>
      <c r="B373" t="s">
        <v>877</v>
      </c>
      <c r="C373" t="s">
        <v>676</v>
      </c>
      <c r="D373">
        <v>5650</v>
      </c>
      <c r="E373" s="14">
        <v>0.01497688523199593</v>
      </c>
    </row>
    <row r="374" spans="1:5">
      <c r="A374" t="s">
        <v>733</v>
      </c>
      <c r="B374" t="s">
        <v>868</v>
      </c>
      <c r="C374" t="s">
        <v>676</v>
      </c>
      <c r="D374">
        <v>67740</v>
      </c>
      <c r="E374" s="14">
        <v>0.1795635762151158</v>
      </c>
    </row>
    <row r="375" spans="1:5">
      <c r="A375" t="s">
        <v>733</v>
      </c>
      <c r="B375" t="s">
        <v>40</v>
      </c>
      <c r="C375" t="s">
        <v>712</v>
      </c>
      <c r="D375">
        <v>50</v>
      </c>
      <c r="E375" s="14">
        <v>0.004317043688482128</v>
      </c>
    </row>
    <row r="376" spans="1:5">
      <c r="A376" t="s">
        <v>733</v>
      </c>
      <c r="B376" t="s">
        <v>43</v>
      </c>
      <c r="C376" t="s">
        <v>712</v>
      </c>
      <c r="D376">
        <v>630</v>
      </c>
      <c r="E376" s="14">
        <v>0.0543947504748748</v>
      </c>
    </row>
    <row r="377" spans="1:5">
      <c r="A377" t="s">
        <v>733</v>
      </c>
      <c r="B377" t="s">
        <v>60</v>
      </c>
      <c r="C377" t="s">
        <v>712</v>
      </c>
      <c r="D377">
        <v>20</v>
      </c>
      <c r="E377" s="14">
        <v>0.001726817475392851</v>
      </c>
    </row>
    <row r="378" spans="1:5">
      <c r="A378" t="s">
        <v>733</v>
      </c>
      <c r="B378" t="s">
        <v>56</v>
      </c>
      <c r="C378" t="s">
        <v>712</v>
      </c>
      <c r="D378">
        <v>186</v>
      </c>
      <c r="E378" s="14">
        <v>0.01605940252115351</v>
      </c>
    </row>
    <row r="379" spans="1:5">
      <c r="A379" t="s">
        <v>733</v>
      </c>
      <c r="B379" t="s">
        <v>45</v>
      </c>
      <c r="C379" t="s">
        <v>712</v>
      </c>
      <c r="D379">
        <v>780</v>
      </c>
      <c r="E379" s="14">
        <v>0.06734588154032119</v>
      </c>
    </row>
    <row r="380" spans="1:5">
      <c r="A380" t="s">
        <v>733</v>
      </c>
      <c r="B380" t="s">
        <v>57</v>
      </c>
      <c r="C380" t="s">
        <v>712</v>
      </c>
      <c r="D380">
        <v>82</v>
      </c>
      <c r="E380" s="14">
        <v>0.007079951649110689</v>
      </c>
    </row>
    <row r="381" spans="1:5">
      <c r="A381" t="s">
        <v>733</v>
      </c>
      <c r="B381" t="s">
        <v>49</v>
      </c>
      <c r="C381" t="s">
        <v>712</v>
      </c>
      <c r="D381">
        <v>510</v>
      </c>
      <c r="E381" s="14">
        <v>0.0440338456225177</v>
      </c>
    </row>
    <row r="382" spans="1:5">
      <c r="A382" t="s">
        <v>733</v>
      </c>
      <c r="B382" t="s">
        <v>58</v>
      </c>
      <c r="C382" t="s">
        <v>712</v>
      </c>
      <c r="D382">
        <v>215</v>
      </c>
      <c r="E382" s="14">
        <v>0.01856328786047315</v>
      </c>
    </row>
    <row r="383" spans="1:5">
      <c r="A383" t="s">
        <v>733</v>
      </c>
      <c r="B383" t="s">
        <v>864</v>
      </c>
      <c r="C383" t="s">
        <v>712</v>
      </c>
      <c r="D383">
        <v>130</v>
      </c>
      <c r="E383" s="14">
        <v>0.01122431359005353</v>
      </c>
    </row>
    <row r="384" spans="1:5">
      <c r="A384" t="s">
        <v>733</v>
      </c>
      <c r="B384" t="s">
        <v>53</v>
      </c>
      <c r="C384" t="s">
        <v>712</v>
      </c>
      <c r="D384">
        <v>459</v>
      </c>
      <c r="E384" s="14">
        <v>0.03963046106026593</v>
      </c>
    </row>
    <row r="385" spans="1:9">
      <c r="A385" t="s">
        <v>733</v>
      </c>
      <c r="B385" t="s">
        <v>857</v>
      </c>
      <c r="C385" t="s">
        <v>712</v>
      </c>
      <c r="D385">
        <v>525</v>
      </c>
      <c r="E385" s="14">
        <v>0.04532895872906234</v>
      </c>
    </row>
    <row r="386" spans="1:9">
      <c r="A386" t="s">
        <v>733</v>
      </c>
      <c r="B386" t="s">
        <v>869</v>
      </c>
      <c r="C386" t="s">
        <v>712</v>
      </c>
      <c r="D386">
        <v>600</v>
      </c>
      <c r="E386" s="14">
        <v>0.05180452426178553</v>
      </c>
    </row>
    <row r="387" spans="1:9">
      <c r="A387" t="s">
        <v>733</v>
      </c>
      <c r="B387" t="s">
        <v>870</v>
      </c>
      <c r="C387" t="s">
        <v>712</v>
      </c>
      <c r="D387">
        <v>6855</v>
      </c>
      <c r="E387" s="14">
        <v>0.5918666896908996</v>
      </c>
    </row>
    <row r="388" spans="1:9">
      <c r="A388" t="s">
        <v>733</v>
      </c>
      <c r="B388" t="s">
        <v>59</v>
      </c>
      <c r="C388" t="s">
        <v>712</v>
      </c>
      <c r="D388">
        <v>540</v>
      </c>
      <c r="E388" s="14">
        <v>0.04662407183560698</v>
      </c>
    </row>
    <row r="389" spans="1:9">
      <c r="A389" t="s">
        <v>733</v>
      </c>
      <c r="B389" t="s">
        <v>871</v>
      </c>
      <c r="C389" t="s">
        <v>713</v>
      </c>
      <c r="D389">
        <v>1700</v>
      </c>
      <c r="E389" s="14">
        <v>0.7391304347826086</v>
      </c>
    </row>
    <row r="390" spans="1:9">
      <c r="A390" t="s">
        <v>733</v>
      </c>
      <c r="B390" t="s">
        <v>380</v>
      </c>
      <c r="C390" t="s">
        <v>713</v>
      </c>
      <c r="D390">
        <v>600</v>
      </c>
      <c r="E390" s="14">
        <v>0.2608695652173913</v>
      </c>
    </row>
    <row r="391" spans="1:9">
      <c r="A391" t="s">
        <v>733</v>
      </c>
      <c r="B391" t="s">
        <v>40</v>
      </c>
      <c r="C391" t="s">
        <v>715</v>
      </c>
      <c r="D391">
        <v>2</v>
      </c>
      <c r="E391" s="14">
        <v>0.00468384074941452</v>
      </c>
    </row>
    <row r="392" spans="1:9">
      <c r="A392" t="s">
        <v>733</v>
      </c>
      <c r="B392" t="s">
        <v>44</v>
      </c>
      <c r="C392" t="s">
        <v>715</v>
      </c>
      <c r="D392">
        <v>397</v>
      </c>
      <c r="E392" s="14">
        <v>0.9297423887587822</v>
      </c>
    </row>
    <row r="393" spans="1:9">
      <c r="A393" t="s">
        <v>733</v>
      </c>
      <c r="B393" t="s">
        <v>43</v>
      </c>
      <c r="C393" t="s">
        <v>715</v>
      </c>
      <c r="D393">
        <v>26</v>
      </c>
      <c r="E393" s="14">
        <v>0.06088992974238876</v>
      </c>
    </row>
    <row r="394" spans="1:9">
      <c r="A394" t="s">
        <v>733</v>
      </c>
      <c r="B394" t="s">
        <v>60</v>
      </c>
      <c r="C394" t="s">
        <v>715</v>
      </c>
      <c r="D394">
        <v>2</v>
      </c>
      <c r="E394" s="14">
        <v>0.00468384074941452</v>
      </c>
    </row>
    <row r="395" spans="1:9">
      <c r="A395" t="s">
        <v>733</v>
      </c>
      <c r="B395" t="s">
        <v>872</v>
      </c>
      <c r="C395" t="s">
        <v>716</v>
      </c>
      <c r="D395">
        <v>424</v>
      </c>
      <c r="E395" s="14">
        <v>0.9929742388758782</v>
      </c>
    </row>
    <row r="396" spans="1:9">
      <c r="A396" t="s">
        <v>733</v>
      </c>
      <c r="B396" t="s">
        <v>878</v>
      </c>
      <c r="C396" t="s">
        <v>716</v>
      </c>
      <c r="D396">
        <v>3</v>
      </c>
      <c r="E396" s="14">
        <v>0.00702576112412178</v>
      </c>
    </row>
    <row r="398" spans="1:9">
      <c r="A398" s="4" t="s">
        <v>879</v>
      </c>
    </row>
    <row r="399" spans="1:9" ht="32" customHeight="1">
      <c r="A399" s="5" t="s">
        <v>20</v>
      </c>
      <c r="B399" s="5"/>
      <c r="C399" s="5" t="s">
        <v>21</v>
      </c>
      <c r="D399" s="5" t="s">
        <v>880</v>
      </c>
      <c r="E399" s="5" t="s">
        <v>881</v>
      </c>
      <c r="F399" s="5" t="s">
        <v>882</v>
      </c>
      <c r="G399" s="5" t="s">
        <v>55</v>
      </c>
      <c r="H399" s="5" t="s">
        <v>666</v>
      </c>
      <c r="I399" s="5" t="s">
        <v>707</v>
      </c>
    </row>
    <row r="400" spans="1:9">
      <c r="A400" t="s">
        <v>720</v>
      </c>
      <c r="C400">
        <v>1</v>
      </c>
      <c r="D400">
        <v>464</v>
      </c>
      <c r="E400">
        <v>1674</v>
      </c>
      <c r="F400">
        <v>1210</v>
      </c>
      <c r="G400">
        <v>82</v>
      </c>
      <c r="H400">
        <v>8</v>
      </c>
      <c r="I400">
        <v>41</v>
      </c>
    </row>
    <row r="401" spans="1:9">
      <c r="A401" t="s">
        <v>720</v>
      </c>
      <c r="C401">
        <v>5</v>
      </c>
      <c r="D401">
        <v>265</v>
      </c>
      <c r="E401">
        <v>2619</v>
      </c>
      <c r="F401">
        <v>2354</v>
      </c>
      <c r="G401">
        <v>84</v>
      </c>
      <c r="H401">
        <v>8</v>
      </c>
      <c r="I401">
        <v>42</v>
      </c>
    </row>
    <row r="402" spans="1:9">
      <c r="A402" t="s">
        <v>720</v>
      </c>
      <c r="C402">
        <v>10</v>
      </c>
      <c r="D402">
        <v>1520</v>
      </c>
      <c r="E402">
        <v>7564</v>
      </c>
      <c r="F402">
        <v>6044</v>
      </c>
      <c r="G402">
        <v>134</v>
      </c>
      <c r="H402">
        <v>8</v>
      </c>
      <c r="I402">
        <v>43</v>
      </c>
    </row>
    <row r="403" spans="1:9">
      <c r="A403" t="s">
        <v>720</v>
      </c>
      <c r="C403">
        <v>15</v>
      </c>
      <c r="D403">
        <v>726</v>
      </c>
      <c r="E403">
        <v>10744</v>
      </c>
      <c r="F403">
        <v>10018</v>
      </c>
      <c r="G403">
        <v>181</v>
      </c>
      <c r="H403">
        <v>8</v>
      </c>
      <c r="I403">
        <v>44</v>
      </c>
    </row>
    <row r="404" spans="1:9">
      <c r="A404" t="s">
        <v>720</v>
      </c>
      <c r="C404">
        <v>20</v>
      </c>
      <c r="D404">
        <v>1808</v>
      </c>
      <c r="E404">
        <v>15970</v>
      </c>
      <c r="F404">
        <v>14162</v>
      </c>
      <c r="G404">
        <v>199</v>
      </c>
      <c r="H404">
        <v>8</v>
      </c>
      <c r="I404">
        <v>48</v>
      </c>
    </row>
    <row r="405" spans="1:9">
      <c r="A405" t="s">
        <v>720</v>
      </c>
      <c r="C405">
        <v>25</v>
      </c>
      <c r="D405">
        <v>975</v>
      </c>
      <c r="E405">
        <v>22095</v>
      </c>
      <c r="F405">
        <v>21120</v>
      </c>
      <c r="G405">
        <v>27</v>
      </c>
      <c r="H405">
        <v>8</v>
      </c>
      <c r="I405">
        <v>51</v>
      </c>
    </row>
    <row r="406" spans="1:9">
      <c r="A406" t="s">
        <v>720</v>
      </c>
      <c r="C406">
        <v>30</v>
      </c>
      <c r="D406">
        <v>726</v>
      </c>
      <c r="E406">
        <v>27068</v>
      </c>
      <c r="F406">
        <v>26342</v>
      </c>
      <c r="G406">
        <v>57</v>
      </c>
      <c r="H406">
        <v>8</v>
      </c>
      <c r="I406">
        <v>51</v>
      </c>
    </row>
    <row r="407" spans="1:9">
      <c r="A407" t="s">
        <v>720</v>
      </c>
      <c r="C407">
        <v>35</v>
      </c>
      <c r="D407">
        <v>1308</v>
      </c>
      <c r="E407">
        <v>32052</v>
      </c>
      <c r="F407">
        <v>30744</v>
      </c>
      <c r="G407">
        <v>105</v>
      </c>
      <c r="H407">
        <v>8</v>
      </c>
      <c r="I407">
        <v>53</v>
      </c>
    </row>
    <row r="408" spans="1:9">
      <c r="A408" t="s">
        <v>720</v>
      </c>
      <c r="C408">
        <v>40</v>
      </c>
      <c r="D408">
        <v>946</v>
      </c>
      <c r="E408">
        <v>37124</v>
      </c>
      <c r="F408">
        <v>36178</v>
      </c>
      <c r="G408">
        <v>196</v>
      </c>
      <c r="H408">
        <v>7</v>
      </c>
      <c r="I408">
        <v>54</v>
      </c>
    </row>
    <row r="409" spans="1:9">
      <c r="A409" t="s">
        <v>720</v>
      </c>
      <c r="C409">
        <v>45</v>
      </c>
      <c r="D409">
        <v>9358</v>
      </c>
      <c r="E409">
        <v>46146</v>
      </c>
      <c r="F409">
        <v>36788</v>
      </c>
      <c r="G409">
        <v>229</v>
      </c>
      <c r="H409">
        <v>7</v>
      </c>
      <c r="I409">
        <v>58</v>
      </c>
    </row>
    <row r="410" spans="1:9">
      <c r="A410" t="s">
        <v>720</v>
      </c>
      <c r="C410">
        <v>50</v>
      </c>
      <c r="D410">
        <v>4854</v>
      </c>
      <c r="E410">
        <v>51388</v>
      </c>
      <c r="F410">
        <v>46534</v>
      </c>
      <c r="G410">
        <v>291</v>
      </c>
      <c r="H410">
        <v>7</v>
      </c>
      <c r="I410">
        <v>59</v>
      </c>
    </row>
    <row r="411" spans="1:9">
      <c r="A411" t="s">
        <v>720</v>
      </c>
      <c r="C411">
        <v>55</v>
      </c>
      <c r="D411">
        <v>7535</v>
      </c>
      <c r="E411">
        <v>54435</v>
      </c>
      <c r="F411">
        <v>46900</v>
      </c>
      <c r="G411">
        <v>299</v>
      </c>
      <c r="H411">
        <v>7</v>
      </c>
      <c r="I411">
        <v>59</v>
      </c>
    </row>
    <row r="412" spans="1:9">
      <c r="A412" t="s">
        <v>720</v>
      </c>
      <c r="C412">
        <v>60</v>
      </c>
      <c r="D412">
        <v>12957</v>
      </c>
      <c r="E412">
        <v>61881</v>
      </c>
      <c r="F412">
        <v>48924</v>
      </c>
      <c r="G412">
        <v>329</v>
      </c>
      <c r="H412">
        <v>6</v>
      </c>
      <c r="I412">
        <v>63</v>
      </c>
    </row>
    <row r="413" spans="1:9">
      <c r="A413" t="s">
        <v>720</v>
      </c>
      <c r="C413">
        <v>65</v>
      </c>
      <c r="D413">
        <v>18054</v>
      </c>
      <c r="E413">
        <v>67398</v>
      </c>
      <c r="F413">
        <v>49344</v>
      </c>
      <c r="G413">
        <v>366</v>
      </c>
      <c r="H413">
        <v>6</v>
      </c>
      <c r="I413">
        <v>63</v>
      </c>
    </row>
    <row r="414" spans="1:9">
      <c r="A414" t="s">
        <v>720</v>
      </c>
      <c r="C414">
        <v>70</v>
      </c>
      <c r="D414">
        <v>25593</v>
      </c>
      <c r="E414">
        <v>75627</v>
      </c>
      <c r="F414">
        <v>50034</v>
      </c>
      <c r="G414">
        <v>410</v>
      </c>
      <c r="H414">
        <v>6</v>
      </c>
      <c r="I414">
        <v>66</v>
      </c>
    </row>
    <row r="415" spans="1:9">
      <c r="A415" t="s">
        <v>720</v>
      </c>
      <c r="C415">
        <v>75</v>
      </c>
      <c r="D415">
        <v>31385</v>
      </c>
      <c r="E415">
        <v>82329</v>
      </c>
      <c r="F415">
        <v>50944</v>
      </c>
      <c r="G415">
        <v>467</v>
      </c>
      <c r="H415">
        <v>6</v>
      </c>
      <c r="I415">
        <v>66</v>
      </c>
    </row>
    <row r="416" spans="1:9">
      <c r="A416" t="s">
        <v>720</v>
      </c>
      <c r="C416">
        <v>80</v>
      </c>
      <c r="D416">
        <v>35500</v>
      </c>
      <c r="E416">
        <v>92376</v>
      </c>
      <c r="F416">
        <v>56876</v>
      </c>
      <c r="G416">
        <v>588</v>
      </c>
      <c r="H416">
        <v>5</v>
      </c>
      <c r="I416">
        <v>70</v>
      </c>
    </row>
    <row r="417" spans="1:9">
      <c r="A417" t="s">
        <v>720</v>
      </c>
      <c r="C417">
        <v>85</v>
      </c>
      <c r="D417">
        <v>39187</v>
      </c>
      <c r="E417">
        <v>96621</v>
      </c>
      <c r="F417">
        <v>57434</v>
      </c>
      <c r="G417">
        <v>591</v>
      </c>
      <c r="H417">
        <v>5</v>
      </c>
      <c r="I417">
        <v>70</v>
      </c>
    </row>
    <row r="418" spans="1:9">
      <c r="A418" t="s">
        <v>720</v>
      </c>
      <c r="C418">
        <v>90</v>
      </c>
      <c r="D418">
        <v>43759</v>
      </c>
      <c r="E418">
        <v>102361</v>
      </c>
      <c r="F418">
        <v>58602</v>
      </c>
      <c r="G418">
        <v>43</v>
      </c>
      <c r="H418">
        <v>5</v>
      </c>
      <c r="I418">
        <v>71</v>
      </c>
    </row>
    <row r="419" spans="1:9">
      <c r="A419" t="s">
        <v>720</v>
      </c>
      <c r="C419">
        <v>95</v>
      </c>
      <c r="D419">
        <v>48893</v>
      </c>
      <c r="E419">
        <v>108353</v>
      </c>
      <c r="F419">
        <v>59460</v>
      </c>
      <c r="G419">
        <v>101</v>
      </c>
      <c r="H419">
        <v>5</v>
      </c>
      <c r="I419">
        <v>73</v>
      </c>
    </row>
    <row r="420" spans="1:9">
      <c r="A420" t="s">
        <v>720</v>
      </c>
      <c r="C420">
        <v>100</v>
      </c>
      <c r="D420">
        <v>55637</v>
      </c>
      <c r="E420">
        <v>115841</v>
      </c>
      <c r="F420">
        <v>60204</v>
      </c>
      <c r="G420">
        <v>196</v>
      </c>
      <c r="H420">
        <v>5</v>
      </c>
      <c r="I420">
        <v>75</v>
      </c>
    </row>
    <row r="421" spans="1:9">
      <c r="A421" t="s">
        <v>720</v>
      </c>
      <c r="C421">
        <v>105</v>
      </c>
      <c r="D421">
        <v>62993</v>
      </c>
      <c r="E421">
        <v>123755</v>
      </c>
      <c r="F421">
        <v>60762</v>
      </c>
      <c r="G421">
        <v>231</v>
      </c>
      <c r="H421">
        <v>5</v>
      </c>
      <c r="I421">
        <v>77</v>
      </c>
    </row>
    <row r="422" spans="1:9">
      <c r="A422" t="s">
        <v>720</v>
      </c>
      <c r="C422">
        <v>110</v>
      </c>
      <c r="D422">
        <v>70612</v>
      </c>
      <c r="E422">
        <v>131932</v>
      </c>
      <c r="F422">
        <v>61320</v>
      </c>
      <c r="G422">
        <v>278</v>
      </c>
      <c r="H422">
        <v>5</v>
      </c>
      <c r="I422">
        <v>78</v>
      </c>
    </row>
    <row r="423" spans="1:9">
      <c r="A423" t="s">
        <v>720</v>
      </c>
      <c r="C423">
        <v>115</v>
      </c>
      <c r="D423">
        <v>76936</v>
      </c>
      <c r="E423">
        <v>143762</v>
      </c>
      <c r="F423">
        <v>66826</v>
      </c>
      <c r="G423">
        <v>369</v>
      </c>
      <c r="H423">
        <v>4</v>
      </c>
      <c r="I423">
        <v>80</v>
      </c>
    </row>
    <row r="424" spans="1:9">
      <c r="A424" t="s">
        <v>720</v>
      </c>
      <c r="C424">
        <v>120</v>
      </c>
      <c r="D424">
        <v>84756</v>
      </c>
      <c r="E424">
        <v>152230</v>
      </c>
      <c r="F424">
        <v>67474</v>
      </c>
      <c r="G424">
        <v>387</v>
      </c>
      <c r="H424">
        <v>4</v>
      </c>
      <c r="I424">
        <v>83</v>
      </c>
    </row>
    <row r="425" spans="1:9">
      <c r="A425" t="s">
        <v>720</v>
      </c>
      <c r="C425">
        <v>125</v>
      </c>
      <c r="D425">
        <v>89591</v>
      </c>
      <c r="E425">
        <v>157929</v>
      </c>
      <c r="F425">
        <v>68338</v>
      </c>
      <c r="G425">
        <v>399</v>
      </c>
      <c r="H425">
        <v>4</v>
      </c>
      <c r="I425">
        <v>84</v>
      </c>
    </row>
    <row r="426" spans="1:9">
      <c r="A426" t="s">
        <v>720</v>
      </c>
      <c r="C426">
        <v>130</v>
      </c>
      <c r="D426">
        <v>95484</v>
      </c>
      <c r="E426">
        <v>166090</v>
      </c>
      <c r="F426">
        <v>70606</v>
      </c>
      <c r="G426">
        <v>428</v>
      </c>
      <c r="H426">
        <v>4</v>
      </c>
      <c r="I426">
        <v>85</v>
      </c>
    </row>
    <row r="427" spans="1:9">
      <c r="A427" t="s">
        <v>720</v>
      </c>
      <c r="C427">
        <v>135</v>
      </c>
      <c r="D427">
        <v>104362</v>
      </c>
      <c r="E427">
        <v>175616</v>
      </c>
      <c r="F427">
        <v>71254</v>
      </c>
      <c r="G427">
        <v>516</v>
      </c>
      <c r="H427">
        <v>4</v>
      </c>
      <c r="I427">
        <v>87</v>
      </c>
    </row>
    <row r="428" spans="1:9">
      <c r="A428" t="s">
        <v>720</v>
      </c>
      <c r="C428">
        <v>140</v>
      </c>
      <c r="D428">
        <v>110976</v>
      </c>
      <c r="E428">
        <v>183094</v>
      </c>
      <c r="F428">
        <v>72118</v>
      </c>
      <c r="G428">
        <v>21</v>
      </c>
      <c r="H428">
        <v>4</v>
      </c>
      <c r="I428">
        <v>90</v>
      </c>
    </row>
    <row r="429" spans="1:9">
      <c r="A429" t="s">
        <v>720</v>
      </c>
      <c r="C429">
        <v>145</v>
      </c>
      <c r="D429">
        <v>121567</v>
      </c>
      <c r="E429">
        <v>194333</v>
      </c>
      <c r="F429">
        <v>72766</v>
      </c>
      <c r="G429">
        <v>31</v>
      </c>
      <c r="H429">
        <v>4</v>
      </c>
      <c r="I429">
        <v>92</v>
      </c>
    </row>
    <row r="430" spans="1:9">
      <c r="A430" t="s">
        <v>720</v>
      </c>
      <c r="C430">
        <v>150</v>
      </c>
      <c r="D430">
        <v>130740</v>
      </c>
      <c r="E430">
        <v>206406</v>
      </c>
      <c r="F430">
        <v>75666</v>
      </c>
      <c r="G430">
        <v>89</v>
      </c>
      <c r="H430">
        <v>4</v>
      </c>
      <c r="I430">
        <v>93</v>
      </c>
    </row>
    <row r="431" spans="1:9">
      <c r="A431" t="s">
        <v>720</v>
      </c>
      <c r="C431">
        <v>155</v>
      </c>
      <c r="D431">
        <v>137618</v>
      </c>
      <c r="E431">
        <v>217680</v>
      </c>
      <c r="F431">
        <v>80062</v>
      </c>
      <c r="G431">
        <v>157</v>
      </c>
      <c r="H431">
        <v>3</v>
      </c>
      <c r="I431">
        <v>94</v>
      </c>
    </row>
    <row r="432" spans="1:9">
      <c r="A432" t="s">
        <v>720</v>
      </c>
      <c r="C432">
        <v>160</v>
      </c>
      <c r="D432">
        <v>145329</v>
      </c>
      <c r="E432">
        <v>226455</v>
      </c>
      <c r="F432">
        <v>81126</v>
      </c>
      <c r="G432">
        <v>192</v>
      </c>
      <c r="H432">
        <v>3</v>
      </c>
      <c r="I432">
        <v>95</v>
      </c>
    </row>
    <row r="433" spans="1:9">
      <c r="A433" t="s">
        <v>720</v>
      </c>
      <c r="C433">
        <v>165</v>
      </c>
      <c r="D433">
        <v>152723</v>
      </c>
      <c r="E433">
        <v>234623</v>
      </c>
      <c r="F433">
        <v>81900</v>
      </c>
      <c r="G433">
        <v>220</v>
      </c>
      <c r="H433">
        <v>3</v>
      </c>
      <c r="I433">
        <v>95</v>
      </c>
    </row>
    <row r="434" spans="1:9">
      <c r="A434" t="s">
        <v>720</v>
      </c>
      <c r="C434">
        <v>170</v>
      </c>
      <c r="D434">
        <v>155650</v>
      </c>
      <c r="E434">
        <v>240442</v>
      </c>
      <c r="F434">
        <v>84792</v>
      </c>
      <c r="G434">
        <v>240</v>
      </c>
      <c r="H434">
        <v>3</v>
      </c>
      <c r="I434">
        <v>96</v>
      </c>
    </row>
    <row r="435" spans="1:9">
      <c r="A435" t="s">
        <v>720</v>
      </c>
      <c r="C435">
        <v>175</v>
      </c>
      <c r="D435">
        <v>159516</v>
      </c>
      <c r="E435">
        <v>247282</v>
      </c>
      <c r="F435">
        <v>87766</v>
      </c>
      <c r="G435">
        <v>320</v>
      </c>
      <c r="H435">
        <v>2</v>
      </c>
      <c r="I435">
        <v>96</v>
      </c>
    </row>
    <row r="436" spans="1:9">
      <c r="A436" t="s">
        <v>720</v>
      </c>
      <c r="C436">
        <v>180</v>
      </c>
      <c r="D436">
        <v>163119</v>
      </c>
      <c r="E436">
        <v>252631</v>
      </c>
      <c r="F436">
        <v>89512</v>
      </c>
      <c r="G436">
        <v>346</v>
      </c>
      <c r="H436">
        <v>2</v>
      </c>
      <c r="I436">
        <v>96</v>
      </c>
    </row>
    <row r="437" spans="1:9">
      <c r="A437" t="s">
        <v>729</v>
      </c>
      <c r="C437">
        <v>1</v>
      </c>
      <c r="D437">
        <v>241</v>
      </c>
      <c r="E437">
        <v>2273</v>
      </c>
      <c r="F437">
        <v>2032</v>
      </c>
      <c r="G437">
        <v>89</v>
      </c>
      <c r="H437">
        <v>8</v>
      </c>
      <c r="I437">
        <v>42</v>
      </c>
    </row>
    <row r="438" spans="1:9">
      <c r="A438" t="s">
        <v>729</v>
      </c>
      <c r="C438">
        <v>5</v>
      </c>
      <c r="D438">
        <v>2349</v>
      </c>
      <c r="E438">
        <v>15311</v>
      </c>
      <c r="F438">
        <v>12962</v>
      </c>
      <c r="G438">
        <v>54</v>
      </c>
      <c r="H438">
        <v>8</v>
      </c>
      <c r="I438">
        <v>46</v>
      </c>
    </row>
    <row r="439" spans="1:9">
      <c r="A439" t="s">
        <v>729</v>
      </c>
      <c r="C439">
        <v>10</v>
      </c>
      <c r="D439">
        <v>3516</v>
      </c>
      <c r="E439">
        <v>31876</v>
      </c>
      <c r="F439">
        <v>28360</v>
      </c>
      <c r="G439">
        <v>209</v>
      </c>
      <c r="H439">
        <v>7</v>
      </c>
      <c r="I439">
        <v>54</v>
      </c>
    </row>
    <row r="440" spans="1:9">
      <c r="A440" t="s">
        <v>729</v>
      </c>
      <c r="C440">
        <v>15</v>
      </c>
      <c r="D440">
        <v>5713</v>
      </c>
      <c r="E440">
        <v>54831</v>
      </c>
      <c r="F440">
        <v>49118</v>
      </c>
      <c r="G440">
        <v>385</v>
      </c>
      <c r="H440">
        <v>6</v>
      </c>
      <c r="I440">
        <v>62</v>
      </c>
    </row>
    <row r="441" spans="1:9">
      <c r="A441" t="s">
        <v>729</v>
      </c>
      <c r="C441">
        <v>20</v>
      </c>
      <c r="D441">
        <v>17894</v>
      </c>
      <c r="E441">
        <v>77770</v>
      </c>
      <c r="F441">
        <v>59876</v>
      </c>
      <c r="G441">
        <v>557</v>
      </c>
      <c r="H441">
        <v>5</v>
      </c>
      <c r="I441">
        <v>67</v>
      </c>
    </row>
    <row r="442" spans="1:9">
      <c r="A442" t="s">
        <v>729</v>
      </c>
      <c r="C442">
        <v>25</v>
      </c>
      <c r="D442">
        <v>37646</v>
      </c>
      <c r="E442">
        <v>104542</v>
      </c>
      <c r="F442">
        <v>66896</v>
      </c>
      <c r="G442">
        <v>256</v>
      </c>
      <c r="H442">
        <v>4</v>
      </c>
      <c r="I442">
        <v>76</v>
      </c>
    </row>
    <row r="443" spans="1:9">
      <c r="A443" t="s">
        <v>729</v>
      </c>
      <c r="C443">
        <v>30</v>
      </c>
      <c r="D443">
        <v>62884</v>
      </c>
      <c r="E443">
        <v>136924</v>
      </c>
      <c r="F443">
        <v>74040</v>
      </c>
      <c r="G443">
        <v>446</v>
      </c>
      <c r="H443">
        <v>3</v>
      </c>
      <c r="I443">
        <v>88</v>
      </c>
    </row>
    <row r="444" spans="1:9">
      <c r="A444" t="s">
        <v>729</v>
      </c>
      <c r="C444">
        <v>35</v>
      </c>
      <c r="D444">
        <v>86878</v>
      </c>
      <c r="E444">
        <v>169270</v>
      </c>
      <c r="F444">
        <v>82392</v>
      </c>
      <c r="G444">
        <v>162</v>
      </c>
      <c r="H444">
        <v>2</v>
      </c>
      <c r="I444">
        <v>92</v>
      </c>
    </row>
    <row r="445" spans="1:9">
      <c r="A445" t="s">
        <v>729</v>
      </c>
      <c r="C445">
        <v>40</v>
      </c>
      <c r="D445">
        <v>107958</v>
      </c>
      <c r="E445">
        <v>196370</v>
      </c>
      <c r="F445">
        <v>88412</v>
      </c>
      <c r="G445">
        <v>234</v>
      </c>
      <c r="H445">
        <v>2</v>
      </c>
      <c r="I445">
        <v>95</v>
      </c>
    </row>
    <row r="446" spans="1:9">
      <c r="A446" t="s">
        <v>729</v>
      </c>
      <c r="C446">
        <v>45</v>
      </c>
      <c r="D446">
        <v>133707</v>
      </c>
      <c r="E446">
        <v>227799</v>
      </c>
      <c r="F446">
        <v>94092</v>
      </c>
      <c r="G446">
        <v>441</v>
      </c>
      <c r="H446">
        <v>1</v>
      </c>
      <c r="I446">
        <v>96</v>
      </c>
    </row>
    <row r="447" spans="1:9">
      <c r="A447" t="s">
        <v>729</v>
      </c>
      <c r="C447">
        <v>50</v>
      </c>
      <c r="D447">
        <v>154169</v>
      </c>
      <c r="E447">
        <v>253041</v>
      </c>
      <c r="F447">
        <v>98872</v>
      </c>
      <c r="G447">
        <v>502</v>
      </c>
      <c r="H447">
        <v>1</v>
      </c>
      <c r="I447">
        <v>97</v>
      </c>
    </row>
    <row r="448" spans="1:9">
      <c r="A448" t="s">
        <v>729</v>
      </c>
      <c r="C448">
        <v>55</v>
      </c>
      <c r="D448">
        <v>181315</v>
      </c>
      <c r="E448">
        <v>283067</v>
      </c>
      <c r="F448">
        <v>101752</v>
      </c>
      <c r="G448">
        <v>733</v>
      </c>
      <c r="H448">
        <v>1</v>
      </c>
      <c r="I448">
        <v>97</v>
      </c>
    </row>
    <row r="449" spans="1:9">
      <c r="A449" t="s">
        <v>729</v>
      </c>
      <c r="C449">
        <v>60</v>
      </c>
      <c r="D449">
        <v>200663</v>
      </c>
      <c r="E449">
        <v>307855</v>
      </c>
      <c r="F449">
        <v>107192</v>
      </c>
      <c r="G449">
        <v>846</v>
      </c>
      <c r="H449">
        <v>1</v>
      </c>
      <c r="I449">
        <v>97</v>
      </c>
    </row>
    <row r="450" spans="1:9">
      <c r="A450" t="s">
        <v>729</v>
      </c>
      <c r="C450">
        <v>65</v>
      </c>
      <c r="D450">
        <v>224574</v>
      </c>
      <c r="E450">
        <v>336526</v>
      </c>
      <c r="F450">
        <v>111952</v>
      </c>
      <c r="G450">
        <v>973</v>
      </c>
      <c r="H450">
        <v>1</v>
      </c>
      <c r="I450">
        <v>97</v>
      </c>
    </row>
    <row r="451" spans="1:9">
      <c r="A451" t="s">
        <v>729</v>
      </c>
      <c r="C451">
        <v>70</v>
      </c>
      <c r="D451">
        <v>265446</v>
      </c>
      <c r="E451">
        <v>380278</v>
      </c>
      <c r="F451">
        <v>114832</v>
      </c>
      <c r="G451">
        <v>239</v>
      </c>
      <c r="H451">
        <v>1</v>
      </c>
      <c r="I451">
        <v>97</v>
      </c>
    </row>
    <row r="452" spans="1:9">
      <c r="A452" t="s">
        <v>729</v>
      </c>
      <c r="C452">
        <v>75</v>
      </c>
      <c r="D452">
        <v>290929</v>
      </c>
      <c r="E452">
        <v>410561</v>
      </c>
      <c r="F452">
        <v>119632</v>
      </c>
      <c r="G452">
        <v>401</v>
      </c>
      <c r="H452">
        <v>1</v>
      </c>
      <c r="I452">
        <v>97</v>
      </c>
    </row>
    <row r="453" spans="1:9">
      <c r="A453" t="s">
        <v>729</v>
      </c>
      <c r="C453">
        <v>80</v>
      </c>
      <c r="D453">
        <v>302224</v>
      </c>
      <c r="E453">
        <v>427276</v>
      </c>
      <c r="F453">
        <v>125052</v>
      </c>
      <c r="G453">
        <v>452</v>
      </c>
      <c r="H453">
        <v>1</v>
      </c>
      <c r="I453">
        <v>97</v>
      </c>
    </row>
    <row r="454" spans="1:9">
      <c r="A454" t="s">
        <v>729</v>
      </c>
      <c r="C454">
        <v>85</v>
      </c>
      <c r="D454">
        <v>319450</v>
      </c>
      <c r="E454">
        <v>448662</v>
      </c>
      <c r="F454">
        <v>129212</v>
      </c>
      <c r="G454">
        <v>549</v>
      </c>
      <c r="H454">
        <v>1</v>
      </c>
      <c r="I454">
        <v>97</v>
      </c>
    </row>
    <row r="455" spans="1:9">
      <c r="A455" t="s">
        <v>729</v>
      </c>
      <c r="C455">
        <v>90</v>
      </c>
      <c r="D455">
        <v>331931</v>
      </c>
      <c r="E455">
        <v>465283</v>
      </c>
      <c r="F455">
        <v>133352</v>
      </c>
      <c r="G455">
        <v>596</v>
      </c>
      <c r="H455">
        <v>1</v>
      </c>
      <c r="I455">
        <v>96</v>
      </c>
    </row>
    <row r="456" spans="1:9">
      <c r="A456" t="s">
        <v>729</v>
      </c>
      <c r="C456">
        <v>95</v>
      </c>
      <c r="D456">
        <v>347744</v>
      </c>
      <c r="E456">
        <v>486536</v>
      </c>
      <c r="F456">
        <v>138792</v>
      </c>
      <c r="G456">
        <v>698</v>
      </c>
      <c r="H456">
        <v>1</v>
      </c>
      <c r="I456">
        <v>95</v>
      </c>
    </row>
    <row r="457" spans="1:9">
      <c r="A457" t="s">
        <v>729</v>
      </c>
      <c r="C457">
        <v>100</v>
      </c>
      <c r="D457">
        <v>361950</v>
      </c>
      <c r="E457">
        <v>505352</v>
      </c>
      <c r="F457">
        <v>143402</v>
      </c>
      <c r="G457">
        <v>769</v>
      </c>
      <c r="H457">
        <v>1</v>
      </c>
      <c r="I457">
        <v>96</v>
      </c>
    </row>
    <row r="458" spans="1:9">
      <c r="A458" t="s">
        <v>729</v>
      </c>
      <c r="C458">
        <v>105</v>
      </c>
      <c r="D458">
        <v>376064</v>
      </c>
      <c r="E458">
        <v>523926</v>
      </c>
      <c r="F458">
        <v>147862</v>
      </c>
      <c r="G458">
        <v>840</v>
      </c>
      <c r="H458">
        <v>1</v>
      </c>
      <c r="I458">
        <v>96</v>
      </c>
    </row>
    <row r="459" spans="1:9">
      <c r="A459" t="s">
        <v>729</v>
      </c>
      <c r="C459">
        <v>110</v>
      </c>
      <c r="D459">
        <v>399278</v>
      </c>
      <c r="E459">
        <v>551260</v>
      </c>
      <c r="F459">
        <v>151982</v>
      </c>
      <c r="G459">
        <v>1033</v>
      </c>
      <c r="H459">
        <v>1</v>
      </c>
      <c r="I459">
        <v>96</v>
      </c>
    </row>
    <row r="460" spans="1:9">
      <c r="A460" t="s">
        <v>729</v>
      </c>
      <c r="C460">
        <v>115</v>
      </c>
      <c r="D460">
        <v>423655</v>
      </c>
      <c r="E460">
        <v>580397</v>
      </c>
      <c r="F460">
        <v>156742</v>
      </c>
      <c r="G460">
        <v>1226</v>
      </c>
      <c r="H460">
        <v>1</v>
      </c>
      <c r="I460">
        <v>96</v>
      </c>
    </row>
    <row r="461" spans="1:9">
      <c r="A461" t="s">
        <v>729</v>
      </c>
      <c r="C461">
        <v>120</v>
      </c>
      <c r="D461">
        <v>439796</v>
      </c>
      <c r="E461">
        <v>600698</v>
      </c>
      <c r="F461">
        <v>160902</v>
      </c>
      <c r="G461">
        <v>1279</v>
      </c>
      <c r="H461">
        <v>1</v>
      </c>
      <c r="I461">
        <v>96</v>
      </c>
    </row>
    <row r="462" spans="1:9">
      <c r="A462" t="s">
        <v>729</v>
      </c>
      <c r="C462">
        <v>125</v>
      </c>
      <c r="D462">
        <v>457855</v>
      </c>
      <c r="E462">
        <v>622897</v>
      </c>
      <c r="F462">
        <v>165042</v>
      </c>
      <c r="G462">
        <v>1383</v>
      </c>
      <c r="H462">
        <v>1</v>
      </c>
      <c r="I462">
        <v>96</v>
      </c>
    </row>
    <row r="463" spans="1:9">
      <c r="A463" t="s">
        <v>729</v>
      </c>
      <c r="C463">
        <v>130</v>
      </c>
      <c r="D463">
        <v>471899</v>
      </c>
      <c r="E463">
        <v>641871</v>
      </c>
      <c r="F463">
        <v>169972</v>
      </c>
      <c r="G463">
        <v>1453</v>
      </c>
      <c r="H463">
        <v>1</v>
      </c>
      <c r="I463">
        <v>96</v>
      </c>
    </row>
    <row r="464" spans="1:9">
      <c r="A464" t="s">
        <v>729</v>
      </c>
      <c r="C464">
        <v>135</v>
      </c>
      <c r="D464">
        <v>489491</v>
      </c>
      <c r="E464">
        <v>663303</v>
      </c>
      <c r="F464">
        <v>173812</v>
      </c>
      <c r="G464">
        <v>1527</v>
      </c>
      <c r="H464">
        <v>1</v>
      </c>
      <c r="I464">
        <v>97</v>
      </c>
    </row>
    <row r="465" spans="1:9">
      <c r="A465" t="s">
        <v>729</v>
      </c>
      <c r="C465">
        <v>140</v>
      </c>
      <c r="D465">
        <v>512460</v>
      </c>
      <c r="E465">
        <v>689152</v>
      </c>
      <c r="F465">
        <v>176692</v>
      </c>
      <c r="G465">
        <v>1666</v>
      </c>
      <c r="H465">
        <v>1</v>
      </c>
      <c r="I465">
        <v>97</v>
      </c>
    </row>
    <row r="466" spans="1:9">
      <c r="A466" t="s">
        <v>729</v>
      </c>
      <c r="C466">
        <v>145</v>
      </c>
      <c r="D466">
        <v>524593</v>
      </c>
      <c r="E466">
        <v>707065</v>
      </c>
      <c r="F466">
        <v>182472</v>
      </c>
      <c r="G466">
        <v>1719</v>
      </c>
      <c r="H466">
        <v>2</v>
      </c>
      <c r="I466">
        <v>96</v>
      </c>
    </row>
    <row r="467" spans="1:9">
      <c r="A467" t="s">
        <v>729</v>
      </c>
      <c r="C467">
        <v>150</v>
      </c>
      <c r="D467">
        <v>548554</v>
      </c>
      <c r="E467">
        <v>735826</v>
      </c>
      <c r="F467">
        <v>187272</v>
      </c>
      <c r="G467">
        <v>1900</v>
      </c>
      <c r="H467">
        <v>1</v>
      </c>
      <c r="I467">
        <v>97</v>
      </c>
    </row>
    <row r="468" spans="1:9">
      <c r="A468" t="s">
        <v>729</v>
      </c>
      <c r="C468">
        <v>155</v>
      </c>
      <c r="D468">
        <v>564520</v>
      </c>
      <c r="E468">
        <v>757512</v>
      </c>
      <c r="F468">
        <v>192992</v>
      </c>
      <c r="G468">
        <v>1956</v>
      </c>
      <c r="H468">
        <v>1</v>
      </c>
      <c r="I468">
        <v>97</v>
      </c>
    </row>
    <row r="469" spans="1:9">
      <c r="A469" t="s">
        <v>729</v>
      </c>
      <c r="C469">
        <v>160</v>
      </c>
      <c r="D469">
        <v>577776</v>
      </c>
      <c r="E469">
        <v>774948</v>
      </c>
      <c r="F469">
        <v>197172</v>
      </c>
      <c r="G469">
        <v>2006</v>
      </c>
      <c r="H469">
        <v>1</v>
      </c>
      <c r="I469">
        <v>97</v>
      </c>
    </row>
    <row r="470" spans="1:9">
      <c r="A470" t="s">
        <v>729</v>
      </c>
      <c r="C470">
        <v>165</v>
      </c>
      <c r="D470">
        <v>593366</v>
      </c>
      <c r="E470">
        <v>795508</v>
      </c>
      <c r="F470">
        <v>202142</v>
      </c>
      <c r="G470">
        <v>2089</v>
      </c>
      <c r="H470">
        <v>1</v>
      </c>
      <c r="I470">
        <v>97</v>
      </c>
    </row>
    <row r="471" spans="1:9">
      <c r="A471" t="s">
        <v>729</v>
      </c>
      <c r="C471">
        <v>170</v>
      </c>
      <c r="D471">
        <v>606954</v>
      </c>
      <c r="E471">
        <v>813096</v>
      </c>
      <c r="F471">
        <v>206142</v>
      </c>
      <c r="G471">
        <v>2159</v>
      </c>
      <c r="H471">
        <v>1</v>
      </c>
      <c r="I471">
        <v>97</v>
      </c>
    </row>
    <row r="472" spans="1:9">
      <c r="A472" t="s">
        <v>729</v>
      </c>
      <c r="C472">
        <v>175</v>
      </c>
      <c r="D472">
        <v>622415</v>
      </c>
      <c r="E472">
        <v>833197</v>
      </c>
      <c r="F472">
        <v>210782</v>
      </c>
      <c r="G472">
        <v>2214</v>
      </c>
      <c r="H472">
        <v>1</v>
      </c>
      <c r="I472">
        <v>97</v>
      </c>
    </row>
    <row r="473" spans="1:9">
      <c r="A473" t="s">
        <v>729</v>
      </c>
      <c r="C473">
        <v>180</v>
      </c>
      <c r="D473">
        <v>638082</v>
      </c>
      <c r="E473">
        <v>853044</v>
      </c>
      <c r="F473">
        <v>214962</v>
      </c>
      <c r="G473">
        <v>2269</v>
      </c>
      <c r="H473">
        <v>1</v>
      </c>
      <c r="I473">
        <v>97</v>
      </c>
    </row>
    <row r="474" spans="1:9">
      <c r="A474" t="s">
        <v>733</v>
      </c>
      <c r="C474">
        <v>1</v>
      </c>
      <c r="D474">
        <v>1012</v>
      </c>
      <c r="E474">
        <v>5208</v>
      </c>
      <c r="F474">
        <v>4196</v>
      </c>
      <c r="G474">
        <v>99</v>
      </c>
      <c r="H474">
        <v>8</v>
      </c>
      <c r="I474">
        <v>42</v>
      </c>
    </row>
    <row r="475" spans="1:9">
      <c r="A475" t="s">
        <v>733</v>
      </c>
      <c r="C475">
        <v>5</v>
      </c>
      <c r="D475">
        <v>4136</v>
      </c>
      <c r="E475">
        <v>40556</v>
      </c>
      <c r="F475">
        <v>36420</v>
      </c>
      <c r="G475">
        <v>250</v>
      </c>
      <c r="H475">
        <v>7</v>
      </c>
      <c r="I475">
        <v>50</v>
      </c>
    </row>
    <row r="476" spans="1:9">
      <c r="A476" t="s">
        <v>733</v>
      </c>
      <c r="C476">
        <v>10</v>
      </c>
      <c r="D476">
        <v>40589</v>
      </c>
      <c r="E476">
        <v>105401</v>
      </c>
      <c r="F476">
        <v>64812</v>
      </c>
      <c r="G476">
        <v>186</v>
      </c>
      <c r="H476">
        <v>5</v>
      </c>
      <c r="I476">
        <v>61</v>
      </c>
    </row>
    <row r="477" spans="1:9">
      <c r="A477" t="s">
        <v>733</v>
      </c>
      <c r="C477">
        <v>15</v>
      </c>
      <c r="D477">
        <v>81325</v>
      </c>
      <c r="E477">
        <v>175513</v>
      </c>
      <c r="F477">
        <v>94188</v>
      </c>
      <c r="G477">
        <v>17</v>
      </c>
      <c r="H477">
        <v>3</v>
      </c>
      <c r="I477">
        <v>75</v>
      </c>
    </row>
    <row r="478" spans="1:9">
      <c r="A478" t="s">
        <v>733</v>
      </c>
      <c r="C478">
        <v>20</v>
      </c>
      <c r="D478">
        <v>131708</v>
      </c>
      <c r="E478">
        <v>258136</v>
      </c>
      <c r="F478">
        <v>126428</v>
      </c>
      <c r="G478">
        <v>252</v>
      </c>
      <c r="H478">
        <v>1</v>
      </c>
      <c r="I478">
        <v>90</v>
      </c>
    </row>
    <row r="479" spans="1:9">
      <c r="A479" t="s">
        <v>733</v>
      </c>
      <c r="C479">
        <v>25</v>
      </c>
      <c r="D479">
        <v>195885</v>
      </c>
      <c r="E479">
        <v>336283</v>
      </c>
      <c r="F479">
        <v>140398</v>
      </c>
      <c r="G479">
        <v>586</v>
      </c>
      <c r="H479">
        <v>1</v>
      </c>
      <c r="I479">
        <v>95</v>
      </c>
    </row>
    <row r="480" spans="1:9">
      <c r="A480" t="s">
        <v>733</v>
      </c>
      <c r="C480">
        <v>30</v>
      </c>
      <c r="D480">
        <v>267770</v>
      </c>
      <c r="E480">
        <v>417508</v>
      </c>
      <c r="F480">
        <v>149738</v>
      </c>
      <c r="G480">
        <v>896</v>
      </c>
      <c r="H480">
        <v>1</v>
      </c>
      <c r="I480">
        <v>97</v>
      </c>
    </row>
    <row r="481" spans="1:9">
      <c r="A481" t="s">
        <v>733</v>
      </c>
      <c r="C481">
        <v>35</v>
      </c>
      <c r="D481">
        <v>368359</v>
      </c>
      <c r="E481">
        <v>526407</v>
      </c>
      <c r="F481">
        <v>158048</v>
      </c>
      <c r="G481">
        <v>366</v>
      </c>
      <c r="H481">
        <v>1</v>
      </c>
      <c r="I481">
        <v>97</v>
      </c>
    </row>
    <row r="482" spans="1:9">
      <c r="A482" t="s">
        <v>733</v>
      </c>
      <c r="C482">
        <v>40</v>
      </c>
      <c r="D482">
        <v>451601</v>
      </c>
      <c r="E482">
        <v>616989</v>
      </c>
      <c r="F482">
        <v>165388</v>
      </c>
      <c r="G482">
        <v>858</v>
      </c>
      <c r="H482">
        <v>1</v>
      </c>
      <c r="I482">
        <v>97</v>
      </c>
    </row>
    <row r="483" spans="1:9">
      <c r="A483" t="s">
        <v>733</v>
      </c>
      <c r="C483">
        <v>45</v>
      </c>
      <c r="D483">
        <v>510042</v>
      </c>
      <c r="E483">
        <v>682620</v>
      </c>
      <c r="F483">
        <v>172578</v>
      </c>
      <c r="G483">
        <v>1140</v>
      </c>
      <c r="H483">
        <v>1</v>
      </c>
      <c r="I483">
        <v>97</v>
      </c>
    </row>
    <row r="484" spans="1:9">
      <c r="A484" t="s">
        <v>733</v>
      </c>
      <c r="C484">
        <v>50</v>
      </c>
      <c r="D484">
        <v>575549</v>
      </c>
      <c r="E484">
        <v>757237</v>
      </c>
      <c r="F484">
        <v>181688</v>
      </c>
      <c r="G484">
        <v>1404</v>
      </c>
      <c r="H484">
        <v>1</v>
      </c>
      <c r="I484">
        <v>97</v>
      </c>
    </row>
    <row r="485" spans="1:9">
      <c r="A485" t="s">
        <v>733</v>
      </c>
      <c r="C485">
        <v>55</v>
      </c>
      <c r="D485">
        <v>650673</v>
      </c>
      <c r="E485">
        <v>840191</v>
      </c>
      <c r="F485">
        <v>189518</v>
      </c>
      <c r="G485">
        <v>1705</v>
      </c>
      <c r="H485">
        <v>1</v>
      </c>
      <c r="I485">
        <v>97</v>
      </c>
    </row>
    <row r="486" spans="1:9">
      <c r="A486" t="s">
        <v>733</v>
      </c>
      <c r="C486">
        <v>60</v>
      </c>
      <c r="D486">
        <v>721056</v>
      </c>
      <c r="E486">
        <v>918104</v>
      </c>
      <c r="F486">
        <v>197048</v>
      </c>
      <c r="G486">
        <v>2150</v>
      </c>
      <c r="H486">
        <v>1</v>
      </c>
      <c r="I486">
        <v>96</v>
      </c>
    </row>
    <row r="487" spans="1:9">
      <c r="A487" t="s">
        <v>733</v>
      </c>
      <c r="C487">
        <v>65</v>
      </c>
      <c r="D487">
        <v>802094</v>
      </c>
      <c r="E487">
        <v>1006502</v>
      </c>
      <c r="F487">
        <v>204408</v>
      </c>
      <c r="G487">
        <v>2475</v>
      </c>
      <c r="H487">
        <v>1</v>
      </c>
      <c r="I487">
        <v>97</v>
      </c>
    </row>
    <row r="488" spans="1:9">
      <c r="A488" t="s">
        <v>733</v>
      </c>
      <c r="C488">
        <v>70</v>
      </c>
      <c r="D488">
        <v>868275</v>
      </c>
      <c r="E488">
        <v>1081113</v>
      </c>
      <c r="F488">
        <v>212838</v>
      </c>
      <c r="G488">
        <v>2656</v>
      </c>
      <c r="H488">
        <v>1</v>
      </c>
      <c r="I488">
        <v>97</v>
      </c>
    </row>
    <row r="489" spans="1:9">
      <c r="A489" t="s">
        <v>733</v>
      </c>
      <c r="C489">
        <v>75</v>
      </c>
      <c r="D489">
        <v>934132</v>
      </c>
      <c r="E489">
        <v>1153050</v>
      </c>
      <c r="F489">
        <v>218918</v>
      </c>
      <c r="G489">
        <v>3090</v>
      </c>
      <c r="H489">
        <v>1</v>
      </c>
      <c r="I489">
        <v>97</v>
      </c>
    </row>
    <row r="490" spans="1:9">
      <c r="A490" t="s">
        <v>733</v>
      </c>
      <c r="C490">
        <v>80</v>
      </c>
      <c r="D490">
        <v>1000391</v>
      </c>
      <c r="E490">
        <v>1226029</v>
      </c>
      <c r="F490">
        <v>225638</v>
      </c>
      <c r="G490">
        <v>3417</v>
      </c>
      <c r="H490">
        <v>1</v>
      </c>
      <c r="I490">
        <v>97</v>
      </c>
    </row>
    <row r="491" spans="1:9">
      <c r="A491" t="s">
        <v>733</v>
      </c>
      <c r="C491">
        <v>85</v>
      </c>
      <c r="D491">
        <v>1064934</v>
      </c>
      <c r="E491">
        <v>1298252</v>
      </c>
      <c r="F491">
        <v>233318</v>
      </c>
      <c r="G491">
        <v>3644</v>
      </c>
      <c r="H491">
        <v>1</v>
      </c>
      <c r="I491">
        <v>97</v>
      </c>
    </row>
    <row r="492" spans="1:9">
      <c r="A492" t="s">
        <v>733</v>
      </c>
      <c r="C492">
        <v>90</v>
      </c>
      <c r="D492">
        <v>1118559</v>
      </c>
      <c r="E492">
        <v>1360817</v>
      </c>
      <c r="F492">
        <v>242258</v>
      </c>
      <c r="G492">
        <v>3905</v>
      </c>
      <c r="H492">
        <v>1</v>
      </c>
      <c r="I492">
        <v>97</v>
      </c>
    </row>
    <row r="493" spans="1:9">
      <c r="A493" t="s">
        <v>733</v>
      </c>
      <c r="C493">
        <v>95</v>
      </c>
      <c r="D493">
        <v>1187111</v>
      </c>
      <c r="E493">
        <v>1437369</v>
      </c>
      <c r="F493">
        <v>250258</v>
      </c>
      <c r="G493">
        <v>4240</v>
      </c>
      <c r="H493">
        <v>1</v>
      </c>
      <c r="I493">
        <v>97</v>
      </c>
    </row>
    <row r="494" spans="1:9">
      <c r="A494" t="s">
        <v>733</v>
      </c>
      <c r="C494">
        <v>100</v>
      </c>
      <c r="D494">
        <v>1244963</v>
      </c>
      <c r="E494">
        <v>1501941</v>
      </c>
      <c r="F494">
        <v>256978</v>
      </c>
      <c r="G494">
        <v>4493</v>
      </c>
      <c r="H494">
        <v>1</v>
      </c>
      <c r="I494">
        <v>97</v>
      </c>
    </row>
    <row r="495" spans="1:9">
      <c r="A495" t="s">
        <v>733</v>
      </c>
      <c r="C495">
        <v>105</v>
      </c>
      <c r="D495">
        <v>1308742</v>
      </c>
      <c r="E495">
        <v>1573750</v>
      </c>
      <c r="F495">
        <v>265008</v>
      </c>
      <c r="G495">
        <v>4705</v>
      </c>
      <c r="H495">
        <v>1</v>
      </c>
      <c r="I495">
        <v>98</v>
      </c>
    </row>
    <row r="496" spans="1:9">
      <c r="A496" t="s">
        <v>733</v>
      </c>
      <c r="C496">
        <v>110</v>
      </c>
      <c r="D496">
        <v>1388464</v>
      </c>
      <c r="E496">
        <v>1660852</v>
      </c>
      <c r="F496">
        <v>272388</v>
      </c>
      <c r="G496">
        <v>5111</v>
      </c>
      <c r="H496">
        <v>1</v>
      </c>
      <c r="I496">
        <v>98</v>
      </c>
    </row>
    <row r="497" spans="1:9">
      <c r="A497" t="s">
        <v>733</v>
      </c>
      <c r="C497">
        <v>115</v>
      </c>
      <c r="D497">
        <v>1466324</v>
      </c>
      <c r="E497">
        <v>1745922</v>
      </c>
      <c r="F497">
        <v>279598</v>
      </c>
      <c r="G497">
        <v>5430</v>
      </c>
      <c r="H497">
        <v>1</v>
      </c>
      <c r="I497">
        <v>98</v>
      </c>
    </row>
    <row r="498" spans="1:9">
      <c r="A498" t="s">
        <v>733</v>
      </c>
      <c r="C498">
        <v>120</v>
      </c>
      <c r="D498">
        <v>1538448</v>
      </c>
      <c r="E498">
        <v>1825766</v>
      </c>
      <c r="F498">
        <v>287318</v>
      </c>
      <c r="G498">
        <v>5739</v>
      </c>
      <c r="H498">
        <v>1</v>
      </c>
      <c r="I498">
        <v>98</v>
      </c>
    </row>
    <row r="499" spans="1:9">
      <c r="A499" t="s">
        <v>733</v>
      </c>
      <c r="C499">
        <v>125</v>
      </c>
      <c r="D499">
        <v>1609690</v>
      </c>
      <c r="E499">
        <v>1903428</v>
      </c>
      <c r="F499">
        <v>293738</v>
      </c>
      <c r="G499">
        <v>6072</v>
      </c>
      <c r="H499">
        <v>1</v>
      </c>
      <c r="I499">
        <v>98</v>
      </c>
    </row>
    <row r="500" spans="1:9">
      <c r="A500" t="s">
        <v>733</v>
      </c>
      <c r="C500">
        <v>130</v>
      </c>
      <c r="D500">
        <v>1688825</v>
      </c>
      <c r="E500">
        <v>1989943</v>
      </c>
      <c r="F500">
        <v>301118</v>
      </c>
      <c r="G500">
        <v>6461</v>
      </c>
      <c r="H500">
        <v>1</v>
      </c>
      <c r="I500">
        <v>97</v>
      </c>
    </row>
    <row r="501" spans="1:9">
      <c r="A501" t="s">
        <v>733</v>
      </c>
      <c r="C501">
        <v>135</v>
      </c>
      <c r="D501">
        <v>1762827</v>
      </c>
      <c r="E501">
        <v>2071165</v>
      </c>
      <c r="F501">
        <v>308338</v>
      </c>
      <c r="G501">
        <v>6787</v>
      </c>
      <c r="H501">
        <v>1</v>
      </c>
      <c r="I501">
        <v>97</v>
      </c>
    </row>
    <row r="502" spans="1:9">
      <c r="A502" t="s">
        <v>733</v>
      </c>
      <c r="C502">
        <v>140</v>
      </c>
      <c r="D502">
        <v>1840810</v>
      </c>
      <c r="E502">
        <v>2156358</v>
      </c>
      <c r="F502">
        <v>315548</v>
      </c>
      <c r="G502">
        <v>7094</v>
      </c>
      <c r="H502">
        <v>1</v>
      </c>
      <c r="I502">
        <v>97</v>
      </c>
    </row>
    <row r="503" spans="1:9">
      <c r="A503" t="s">
        <v>733</v>
      </c>
      <c r="C503">
        <v>145</v>
      </c>
      <c r="D503">
        <v>1889532</v>
      </c>
      <c r="E503">
        <v>2212920</v>
      </c>
      <c r="F503">
        <v>323388</v>
      </c>
      <c r="G503">
        <v>7366</v>
      </c>
      <c r="H503">
        <v>1</v>
      </c>
      <c r="I503">
        <v>97</v>
      </c>
    </row>
    <row r="504" spans="1:9">
      <c r="A504" t="s">
        <v>733</v>
      </c>
      <c r="C504">
        <v>150</v>
      </c>
      <c r="D504">
        <v>1953076</v>
      </c>
      <c r="E504">
        <v>2283034</v>
      </c>
      <c r="F504">
        <v>329958</v>
      </c>
      <c r="G504">
        <v>7618</v>
      </c>
      <c r="H504">
        <v>1</v>
      </c>
      <c r="I504">
        <v>96</v>
      </c>
    </row>
    <row r="505" spans="1:9">
      <c r="A505" t="s">
        <v>733</v>
      </c>
      <c r="C505">
        <v>155</v>
      </c>
      <c r="D505">
        <v>2014164</v>
      </c>
      <c r="E505">
        <v>2351292</v>
      </c>
      <c r="F505">
        <v>337128</v>
      </c>
      <c r="G505">
        <v>7734</v>
      </c>
      <c r="H505">
        <v>1</v>
      </c>
      <c r="I505">
        <v>97</v>
      </c>
    </row>
    <row r="506" spans="1:9">
      <c r="A506" t="s">
        <v>733</v>
      </c>
      <c r="C506">
        <v>160</v>
      </c>
      <c r="D506">
        <v>2086033</v>
      </c>
      <c r="E506">
        <v>2432601</v>
      </c>
      <c r="F506">
        <v>346568</v>
      </c>
      <c r="G506">
        <v>8056</v>
      </c>
      <c r="H506">
        <v>1</v>
      </c>
      <c r="I506">
        <v>97</v>
      </c>
    </row>
    <row r="507" spans="1:9">
      <c r="A507" t="s">
        <v>733</v>
      </c>
      <c r="C507">
        <v>165</v>
      </c>
      <c r="D507">
        <v>2150496</v>
      </c>
      <c r="E507">
        <v>2504084</v>
      </c>
      <c r="F507">
        <v>353588</v>
      </c>
      <c r="G507">
        <v>8374</v>
      </c>
      <c r="H507">
        <v>1</v>
      </c>
      <c r="I507">
        <v>97</v>
      </c>
    </row>
    <row r="508" spans="1:9">
      <c r="A508" t="s">
        <v>733</v>
      </c>
      <c r="C508">
        <v>170</v>
      </c>
      <c r="D508">
        <v>2214242</v>
      </c>
      <c r="E508">
        <v>2575190</v>
      </c>
      <c r="F508">
        <v>360948</v>
      </c>
      <c r="G508">
        <v>8614</v>
      </c>
      <c r="H508">
        <v>1</v>
      </c>
      <c r="I508">
        <v>97</v>
      </c>
    </row>
    <row r="509" spans="1:9">
      <c r="A509" t="s">
        <v>733</v>
      </c>
      <c r="C509">
        <v>175</v>
      </c>
      <c r="D509">
        <v>2273654</v>
      </c>
      <c r="E509">
        <v>2643242</v>
      </c>
      <c r="F509">
        <v>369588</v>
      </c>
      <c r="G509">
        <v>8807</v>
      </c>
      <c r="H509">
        <v>1</v>
      </c>
      <c r="I509">
        <v>97</v>
      </c>
    </row>
    <row r="510" spans="1:9">
      <c r="A510" t="s">
        <v>733</v>
      </c>
      <c r="C510">
        <v>180</v>
      </c>
      <c r="D510">
        <v>2352789</v>
      </c>
      <c r="E510">
        <v>2730037</v>
      </c>
      <c r="F510">
        <v>377248</v>
      </c>
      <c r="G510">
        <v>9282</v>
      </c>
      <c r="H510">
        <v>1</v>
      </c>
      <c r="I510">
        <v>97</v>
      </c>
    </row>
    <row r="512" spans="1:9">
      <c r="A512" s="4" t="s">
        <v>883</v>
      </c>
    </row>
    <row r="513" spans="1:8" ht="32" customHeight="1">
      <c r="A513" s="5" t="s">
        <v>884</v>
      </c>
      <c r="B513" s="5" t="s">
        <v>885</v>
      </c>
      <c r="C513" s="5" t="s">
        <v>886</v>
      </c>
      <c r="D513" s="5" t="s">
        <v>21</v>
      </c>
      <c r="E513" s="5" t="s">
        <v>665</v>
      </c>
      <c r="F513" s="5" t="s">
        <v>666</v>
      </c>
      <c r="G513" s="5" t="s">
        <v>887</v>
      </c>
      <c r="H513" s="5" t="s">
        <v>888</v>
      </c>
    </row>
    <row r="514" spans="1:8">
      <c r="A514" t="s">
        <v>889</v>
      </c>
      <c r="B514" t="s">
        <v>890</v>
      </c>
      <c r="C514">
        <v>1</v>
      </c>
      <c r="D514">
        <v>1</v>
      </c>
      <c r="E514">
        <v>1</v>
      </c>
      <c r="F514">
        <v>8</v>
      </c>
      <c r="G514">
        <v>165</v>
      </c>
      <c r="H514">
        <v>1250</v>
      </c>
    </row>
    <row r="515" spans="1:8">
      <c r="A515" t="s">
        <v>889</v>
      </c>
      <c r="B515" t="s">
        <v>890</v>
      </c>
      <c r="C515">
        <v>2</v>
      </c>
      <c r="D515">
        <v>1</v>
      </c>
      <c r="E515">
        <v>1</v>
      </c>
      <c r="F515">
        <v>8</v>
      </c>
      <c r="G515">
        <v>180</v>
      </c>
      <c r="H515">
        <v>535</v>
      </c>
    </row>
    <row r="516" spans="1:8">
      <c r="A516" t="s">
        <v>889</v>
      </c>
      <c r="B516" t="s">
        <v>891</v>
      </c>
      <c r="C516">
        <v>3</v>
      </c>
      <c r="D516">
        <v>1</v>
      </c>
      <c r="E516">
        <v>1</v>
      </c>
      <c r="F516">
        <v>8</v>
      </c>
      <c r="G516">
        <v>43</v>
      </c>
      <c r="H516">
        <v>466</v>
      </c>
    </row>
    <row r="517" spans="1:8">
      <c r="A517" t="s">
        <v>889</v>
      </c>
      <c r="B517" t="s">
        <v>892</v>
      </c>
      <c r="C517">
        <v>4</v>
      </c>
      <c r="D517">
        <v>2</v>
      </c>
      <c r="E517">
        <v>1</v>
      </c>
      <c r="F517">
        <v>8</v>
      </c>
      <c r="G517">
        <v>76</v>
      </c>
      <c r="H517">
        <v>948</v>
      </c>
    </row>
    <row r="518" spans="1:8">
      <c r="A518" t="s">
        <v>893</v>
      </c>
      <c r="B518" t="s">
        <v>891</v>
      </c>
      <c r="C518">
        <v>5</v>
      </c>
      <c r="D518">
        <v>2</v>
      </c>
      <c r="E518">
        <v>1</v>
      </c>
      <c r="F518">
        <v>8</v>
      </c>
      <c r="G518">
        <v>76</v>
      </c>
      <c r="H518">
        <v>514</v>
      </c>
    </row>
    <row r="519" spans="1:8">
      <c r="A519" t="s">
        <v>889</v>
      </c>
      <c r="B519" t="s">
        <v>890</v>
      </c>
      <c r="C519">
        <v>6</v>
      </c>
      <c r="D519">
        <v>2</v>
      </c>
      <c r="E519">
        <v>1</v>
      </c>
      <c r="F519">
        <v>8</v>
      </c>
      <c r="G519">
        <v>182</v>
      </c>
      <c r="H519">
        <v>1268</v>
      </c>
    </row>
    <row r="520" spans="1:8">
      <c r="A520" t="s">
        <v>889</v>
      </c>
      <c r="B520" t="s">
        <v>890</v>
      </c>
      <c r="C520">
        <v>7</v>
      </c>
      <c r="D520">
        <v>3</v>
      </c>
      <c r="E520">
        <v>1</v>
      </c>
      <c r="F520">
        <v>8</v>
      </c>
      <c r="G520">
        <v>198</v>
      </c>
      <c r="H520">
        <v>1124</v>
      </c>
    </row>
    <row r="521" spans="1:8">
      <c r="A521" t="s">
        <v>889</v>
      </c>
      <c r="B521" t="s">
        <v>890</v>
      </c>
      <c r="C521">
        <v>8</v>
      </c>
      <c r="D521">
        <v>3</v>
      </c>
      <c r="E521">
        <v>1</v>
      </c>
      <c r="F521">
        <v>8</v>
      </c>
      <c r="G521">
        <v>215</v>
      </c>
      <c r="H521">
        <v>1822</v>
      </c>
    </row>
    <row r="522" spans="1:8">
      <c r="A522" t="s">
        <v>889</v>
      </c>
      <c r="B522" t="s">
        <v>890</v>
      </c>
      <c r="C522">
        <v>9</v>
      </c>
      <c r="D522">
        <v>3</v>
      </c>
      <c r="E522">
        <v>1</v>
      </c>
      <c r="F522">
        <v>8</v>
      </c>
      <c r="G522">
        <v>231</v>
      </c>
      <c r="H522">
        <v>1896</v>
      </c>
    </row>
    <row r="523" spans="1:8">
      <c r="A523" t="s">
        <v>889</v>
      </c>
      <c r="B523" t="s">
        <v>891</v>
      </c>
      <c r="C523">
        <v>10</v>
      </c>
      <c r="D523">
        <v>4</v>
      </c>
      <c r="E523">
        <v>1</v>
      </c>
      <c r="F523">
        <v>8</v>
      </c>
      <c r="G523">
        <v>30</v>
      </c>
      <c r="H523">
        <v>2300</v>
      </c>
    </row>
    <row r="524" spans="1:8">
      <c r="A524" t="s">
        <v>889</v>
      </c>
      <c r="B524" t="s">
        <v>891</v>
      </c>
      <c r="C524">
        <v>11</v>
      </c>
      <c r="D524">
        <v>4</v>
      </c>
      <c r="E524">
        <v>1</v>
      </c>
      <c r="F524">
        <v>8</v>
      </c>
      <c r="G524">
        <v>49</v>
      </c>
      <c r="H524">
        <v>817</v>
      </c>
    </row>
    <row r="525" spans="1:8">
      <c r="A525" t="s">
        <v>889</v>
      </c>
      <c r="B525" t="s">
        <v>890</v>
      </c>
      <c r="C525">
        <v>12</v>
      </c>
      <c r="D525">
        <v>4</v>
      </c>
      <c r="E525">
        <v>1</v>
      </c>
      <c r="F525">
        <v>8</v>
      </c>
      <c r="G525">
        <v>208</v>
      </c>
      <c r="H525">
        <v>1143</v>
      </c>
    </row>
    <row r="526" spans="1:8">
      <c r="A526" t="s">
        <v>889</v>
      </c>
      <c r="B526" t="s">
        <v>891</v>
      </c>
      <c r="C526">
        <v>13</v>
      </c>
      <c r="D526">
        <v>5</v>
      </c>
      <c r="E526">
        <v>1</v>
      </c>
      <c r="F526">
        <v>8</v>
      </c>
      <c r="G526">
        <v>30</v>
      </c>
      <c r="H526">
        <v>2727</v>
      </c>
    </row>
    <row r="527" spans="1:8">
      <c r="A527" t="s">
        <v>889</v>
      </c>
      <c r="B527" t="s">
        <v>890</v>
      </c>
      <c r="C527">
        <v>14</v>
      </c>
      <c r="D527">
        <v>5</v>
      </c>
      <c r="E527">
        <v>1</v>
      </c>
      <c r="F527">
        <v>8</v>
      </c>
      <c r="G527">
        <v>229</v>
      </c>
      <c r="H527">
        <v>2239</v>
      </c>
    </row>
    <row r="528" spans="1:8">
      <c r="A528" t="s">
        <v>889</v>
      </c>
      <c r="B528" t="s">
        <v>890</v>
      </c>
      <c r="C528">
        <v>15</v>
      </c>
      <c r="D528">
        <v>5</v>
      </c>
      <c r="E528">
        <v>1</v>
      </c>
      <c r="F528">
        <v>8</v>
      </c>
      <c r="G528">
        <v>227</v>
      </c>
      <c r="H528">
        <v>1654</v>
      </c>
    </row>
    <row r="529" spans="1:8">
      <c r="A529" t="s">
        <v>889</v>
      </c>
      <c r="B529" t="s">
        <v>890</v>
      </c>
      <c r="C529">
        <v>16</v>
      </c>
      <c r="D529">
        <v>6</v>
      </c>
      <c r="E529">
        <v>2</v>
      </c>
      <c r="F529">
        <v>7</v>
      </c>
      <c r="G529">
        <v>246</v>
      </c>
      <c r="H529">
        <v>3394</v>
      </c>
    </row>
    <row r="530" spans="1:8">
      <c r="A530" t="s">
        <v>889</v>
      </c>
      <c r="B530" t="s">
        <v>891</v>
      </c>
      <c r="C530">
        <v>17</v>
      </c>
      <c r="D530">
        <v>6</v>
      </c>
      <c r="E530">
        <v>2</v>
      </c>
      <c r="F530">
        <v>7</v>
      </c>
      <c r="G530">
        <v>49</v>
      </c>
      <c r="H530">
        <v>1086</v>
      </c>
    </row>
    <row r="531" spans="1:8">
      <c r="A531" t="s">
        <v>889</v>
      </c>
      <c r="B531" t="s">
        <v>892</v>
      </c>
      <c r="C531">
        <v>18</v>
      </c>
      <c r="D531">
        <v>6</v>
      </c>
      <c r="E531">
        <v>2</v>
      </c>
      <c r="F531">
        <v>7</v>
      </c>
      <c r="G531">
        <v>131</v>
      </c>
      <c r="H531">
        <v>1600</v>
      </c>
    </row>
    <row r="532" spans="1:8">
      <c r="A532" t="s">
        <v>889</v>
      </c>
      <c r="B532" t="s">
        <v>890</v>
      </c>
      <c r="C532">
        <v>19</v>
      </c>
      <c r="D532">
        <v>7</v>
      </c>
      <c r="E532">
        <v>2</v>
      </c>
      <c r="F532">
        <v>7</v>
      </c>
      <c r="G532">
        <v>218</v>
      </c>
      <c r="H532">
        <v>2470</v>
      </c>
    </row>
    <row r="533" spans="1:8">
      <c r="A533" t="s">
        <v>893</v>
      </c>
      <c r="B533" t="s">
        <v>890</v>
      </c>
      <c r="C533">
        <v>20</v>
      </c>
      <c r="D533">
        <v>7</v>
      </c>
      <c r="E533">
        <v>2</v>
      </c>
      <c r="F533">
        <v>7</v>
      </c>
      <c r="G533">
        <v>262</v>
      </c>
      <c r="H533">
        <v>1657</v>
      </c>
    </row>
    <row r="534" spans="1:8">
      <c r="A534" t="s">
        <v>889</v>
      </c>
      <c r="B534" t="s">
        <v>891</v>
      </c>
      <c r="C534">
        <v>21</v>
      </c>
      <c r="D534">
        <v>7</v>
      </c>
      <c r="E534">
        <v>2</v>
      </c>
      <c r="F534">
        <v>7</v>
      </c>
      <c r="G534">
        <v>111</v>
      </c>
      <c r="H534">
        <v>1281</v>
      </c>
    </row>
    <row r="535" spans="1:8">
      <c r="A535" t="s">
        <v>889</v>
      </c>
      <c r="B535" t="s">
        <v>891</v>
      </c>
      <c r="C535">
        <v>22</v>
      </c>
      <c r="D535">
        <v>8</v>
      </c>
      <c r="E535">
        <v>2</v>
      </c>
      <c r="F535">
        <v>7</v>
      </c>
      <c r="G535">
        <v>51</v>
      </c>
      <c r="H535">
        <v>2018</v>
      </c>
    </row>
    <row r="536" spans="1:8">
      <c r="A536" t="s">
        <v>889</v>
      </c>
      <c r="B536" t="s">
        <v>890</v>
      </c>
      <c r="C536">
        <v>23</v>
      </c>
      <c r="D536">
        <v>8</v>
      </c>
      <c r="E536">
        <v>2</v>
      </c>
      <c r="F536">
        <v>7</v>
      </c>
      <c r="G536">
        <v>268</v>
      </c>
      <c r="H536">
        <v>3524</v>
      </c>
    </row>
    <row r="537" spans="1:8">
      <c r="A537" t="s">
        <v>889</v>
      </c>
      <c r="B537" t="s">
        <v>890</v>
      </c>
      <c r="C537">
        <v>24</v>
      </c>
      <c r="D537">
        <v>8</v>
      </c>
      <c r="E537">
        <v>2</v>
      </c>
      <c r="F537">
        <v>7</v>
      </c>
      <c r="G537">
        <v>227</v>
      </c>
      <c r="H537">
        <v>1339</v>
      </c>
    </row>
    <row r="538" spans="1:8">
      <c r="A538" t="s">
        <v>893</v>
      </c>
      <c r="B538" t="s">
        <v>890</v>
      </c>
      <c r="C538">
        <v>25</v>
      </c>
      <c r="D538">
        <v>9</v>
      </c>
      <c r="E538">
        <v>2</v>
      </c>
      <c r="F538">
        <v>7</v>
      </c>
      <c r="G538">
        <v>376</v>
      </c>
      <c r="H538">
        <v>3233</v>
      </c>
    </row>
    <row r="539" spans="1:8">
      <c r="A539" t="s">
        <v>889</v>
      </c>
      <c r="B539" t="s">
        <v>890</v>
      </c>
      <c r="C539">
        <v>26</v>
      </c>
      <c r="D539">
        <v>9</v>
      </c>
      <c r="E539">
        <v>2</v>
      </c>
      <c r="F539">
        <v>7</v>
      </c>
      <c r="G539">
        <v>351</v>
      </c>
      <c r="H539">
        <v>3702</v>
      </c>
    </row>
    <row r="540" spans="1:8">
      <c r="A540" t="s">
        <v>889</v>
      </c>
      <c r="B540" t="s">
        <v>891</v>
      </c>
      <c r="C540">
        <v>27</v>
      </c>
      <c r="D540">
        <v>9</v>
      </c>
      <c r="E540">
        <v>2</v>
      </c>
      <c r="F540">
        <v>7</v>
      </c>
      <c r="G540">
        <v>49</v>
      </c>
      <c r="H540">
        <v>2139</v>
      </c>
    </row>
    <row r="541" spans="1:8">
      <c r="A541" t="s">
        <v>889</v>
      </c>
      <c r="B541" t="s">
        <v>890</v>
      </c>
      <c r="C541">
        <v>28</v>
      </c>
      <c r="D541">
        <v>10</v>
      </c>
      <c r="E541">
        <v>2</v>
      </c>
      <c r="F541">
        <v>7</v>
      </c>
      <c r="G541">
        <v>297</v>
      </c>
      <c r="H541">
        <v>4118</v>
      </c>
    </row>
    <row r="542" spans="1:8">
      <c r="A542" t="s">
        <v>889</v>
      </c>
      <c r="B542" t="s">
        <v>891</v>
      </c>
      <c r="C542">
        <v>29</v>
      </c>
      <c r="D542">
        <v>10</v>
      </c>
      <c r="E542">
        <v>2</v>
      </c>
      <c r="F542">
        <v>7</v>
      </c>
      <c r="G542">
        <v>54</v>
      </c>
      <c r="H542">
        <v>2070</v>
      </c>
    </row>
    <row r="543" spans="1:8">
      <c r="A543" t="s">
        <v>893</v>
      </c>
      <c r="B543" t="s">
        <v>890</v>
      </c>
      <c r="C543">
        <v>30</v>
      </c>
      <c r="D543">
        <v>10</v>
      </c>
      <c r="E543">
        <v>2</v>
      </c>
      <c r="F543">
        <v>7</v>
      </c>
      <c r="G543">
        <v>716</v>
      </c>
      <c r="H543">
        <v>2866</v>
      </c>
    </row>
    <row r="544" spans="1:8">
      <c r="A544" t="s">
        <v>889</v>
      </c>
      <c r="B544" t="s">
        <v>890</v>
      </c>
      <c r="C544">
        <v>31</v>
      </c>
      <c r="D544">
        <v>11</v>
      </c>
      <c r="E544">
        <v>2</v>
      </c>
      <c r="F544">
        <v>7</v>
      </c>
      <c r="G544">
        <v>306</v>
      </c>
      <c r="H544">
        <v>5139</v>
      </c>
    </row>
    <row r="545" spans="1:8">
      <c r="A545" t="s">
        <v>889</v>
      </c>
      <c r="B545" t="s">
        <v>890</v>
      </c>
      <c r="C545">
        <v>32</v>
      </c>
      <c r="D545">
        <v>11</v>
      </c>
      <c r="E545">
        <v>2</v>
      </c>
      <c r="F545">
        <v>7</v>
      </c>
      <c r="G545">
        <v>267</v>
      </c>
      <c r="H545">
        <v>2759</v>
      </c>
    </row>
    <row r="546" spans="1:8">
      <c r="A546" t="s">
        <v>889</v>
      </c>
      <c r="B546" t="s">
        <v>890</v>
      </c>
      <c r="C546">
        <v>33</v>
      </c>
      <c r="D546">
        <v>11</v>
      </c>
      <c r="E546">
        <v>3</v>
      </c>
      <c r="F546">
        <v>6</v>
      </c>
      <c r="G546">
        <v>376</v>
      </c>
      <c r="H546">
        <v>4028</v>
      </c>
    </row>
    <row r="547" spans="1:8">
      <c r="A547" t="s">
        <v>889</v>
      </c>
      <c r="B547" t="s">
        <v>890</v>
      </c>
      <c r="C547">
        <v>34</v>
      </c>
      <c r="D547">
        <v>12</v>
      </c>
      <c r="E547">
        <v>3</v>
      </c>
      <c r="F547">
        <v>6</v>
      </c>
      <c r="G547">
        <v>308</v>
      </c>
      <c r="H547">
        <v>5948</v>
      </c>
    </row>
    <row r="548" spans="1:8">
      <c r="A548" t="s">
        <v>889</v>
      </c>
      <c r="B548" t="s">
        <v>890</v>
      </c>
      <c r="C548">
        <v>35</v>
      </c>
      <c r="D548">
        <v>12</v>
      </c>
      <c r="E548">
        <v>3</v>
      </c>
      <c r="F548">
        <v>6</v>
      </c>
      <c r="G548">
        <v>440</v>
      </c>
      <c r="H548">
        <v>1808</v>
      </c>
    </row>
    <row r="549" spans="1:8">
      <c r="A549" t="s">
        <v>889</v>
      </c>
      <c r="B549" t="s">
        <v>890</v>
      </c>
      <c r="C549">
        <v>36</v>
      </c>
      <c r="D549">
        <v>12</v>
      </c>
      <c r="E549">
        <v>3</v>
      </c>
      <c r="F549">
        <v>6</v>
      </c>
      <c r="G549">
        <v>349</v>
      </c>
      <c r="H549">
        <v>2572</v>
      </c>
    </row>
    <row r="550" spans="1:8">
      <c r="A550" t="s">
        <v>893</v>
      </c>
      <c r="B550" t="s">
        <v>890</v>
      </c>
      <c r="C550">
        <v>37</v>
      </c>
      <c r="D550">
        <v>13</v>
      </c>
      <c r="E550">
        <v>3</v>
      </c>
      <c r="F550">
        <v>6</v>
      </c>
      <c r="G550">
        <v>438</v>
      </c>
      <c r="H550">
        <v>4553</v>
      </c>
    </row>
    <row r="551" spans="1:8">
      <c r="A551" t="s">
        <v>889</v>
      </c>
      <c r="B551" t="s">
        <v>890</v>
      </c>
      <c r="C551">
        <v>38</v>
      </c>
      <c r="D551">
        <v>13</v>
      </c>
      <c r="E551">
        <v>3</v>
      </c>
      <c r="F551">
        <v>6</v>
      </c>
      <c r="G551">
        <v>480</v>
      </c>
      <c r="H551">
        <v>5798</v>
      </c>
    </row>
    <row r="552" spans="1:8">
      <c r="A552" t="s">
        <v>889</v>
      </c>
      <c r="B552" t="s">
        <v>890</v>
      </c>
      <c r="C552">
        <v>39</v>
      </c>
      <c r="D552">
        <v>13</v>
      </c>
      <c r="E552">
        <v>3</v>
      </c>
      <c r="F552">
        <v>6</v>
      </c>
      <c r="G552">
        <v>486</v>
      </c>
      <c r="H552">
        <v>6759</v>
      </c>
    </row>
    <row r="553" spans="1:8">
      <c r="A553" t="s">
        <v>889</v>
      </c>
      <c r="B553" t="s">
        <v>890</v>
      </c>
      <c r="C553">
        <v>40</v>
      </c>
      <c r="D553">
        <v>14</v>
      </c>
      <c r="E553">
        <v>3</v>
      </c>
      <c r="F553">
        <v>6</v>
      </c>
      <c r="G553">
        <v>502</v>
      </c>
      <c r="H553">
        <v>9419</v>
      </c>
    </row>
    <row r="554" spans="1:8">
      <c r="A554" t="s">
        <v>889</v>
      </c>
      <c r="B554" t="s">
        <v>890</v>
      </c>
      <c r="C554">
        <v>41</v>
      </c>
      <c r="D554">
        <v>14</v>
      </c>
      <c r="E554">
        <v>3</v>
      </c>
      <c r="F554">
        <v>6</v>
      </c>
      <c r="G554">
        <v>442</v>
      </c>
      <c r="H554">
        <v>10191</v>
      </c>
    </row>
    <row r="555" spans="1:8">
      <c r="A555" t="s">
        <v>893</v>
      </c>
      <c r="B555" t="s">
        <v>890</v>
      </c>
      <c r="C555">
        <v>42</v>
      </c>
      <c r="D555">
        <v>14</v>
      </c>
      <c r="E555">
        <v>3</v>
      </c>
      <c r="F555">
        <v>6</v>
      </c>
      <c r="G555">
        <v>626</v>
      </c>
      <c r="H555">
        <v>2842</v>
      </c>
    </row>
    <row r="556" spans="1:8">
      <c r="A556" t="s">
        <v>889</v>
      </c>
      <c r="B556" t="s">
        <v>892</v>
      </c>
      <c r="C556">
        <v>43</v>
      </c>
      <c r="D556">
        <v>15</v>
      </c>
      <c r="E556">
        <v>3</v>
      </c>
      <c r="F556">
        <v>6</v>
      </c>
      <c r="G556">
        <v>140</v>
      </c>
      <c r="H556">
        <v>3995</v>
      </c>
    </row>
    <row r="557" spans="1:8">
      <c r="A557" t="s">
        <v>889</v>
      </c>
      <c r="B557" t="s">
        <v>890</v>
      </c>
      <c r="C557">
        <v>44</v>
      </c>
      <c r="D557">
        <v>15</v>
      </c>
      <c r="E557">
        <v>3</v>
      </c>
      <c r="F557">
        <v>6</v>
      </c>
      <c r="G557">
        <v>486</v>
      </c>
      <c r="H557">
        <v>4656</v>
      </c>
    </row>
    <row r="558" spans="1:8">
      <c r="A558" t="s">
        <v>889</v>
      </c>
      <c r="B558" t="s">
        <v>890</v>
      </c>
      <c r="C558">
        <v>45</v>
      </c>
      <c r="D558">
        <v>15</v>
      </c>
      <c r="E558">
        <v>3</v>
      </c>
      <c r="F558">
        <v>6</v>
      </c>
      <c r="G558">
        <v>532</v>
      </c>
      <c r="H558">
        <v>5203</v>
      </c>
    </row>
    <row r="559" spans="1:8">
      <c r="A559" t="s">
        <v>889</v>
      </c>
      <c r="B559" t="s">
        <v>890</v>
      </c>
      <c r="C559">
        <v>46</v>
      </c>
      <c r="D559">
        <v>16</v>
      </c>
      <c r="E559">
        <v>3</v>
      </c>
      <c r="F559">
        <v>6</v>
      </c>
      <c r="G559">
        <v>472</v>
      </c>
      <c r="H559">
        <v>6979</v>
      </c>
    </row>
    <row r="560" spans="1:8">
      <c r="A560" t="s">
        <v>893</v>
      </c>
      <c r="B560" t="s">
        <v>890</v>
      </c>
      <c r="C560">
        <v>47</v>
      </c>
      <c r="D560">
        <v>16</v>
      </c>
      <c r="E560">
        <v>3</v>
      </c>
      <c r="F560">
        <v>6</v>
      </c>
      <c r="G560">
        <v>778</v>
      </c>
      <c r="H560">
        <v>8402</v>
      </c>
    </row>
    <row r="561" spans="1:8">
      <c r="A561" t="s">
        <v>889</v>
      </c>
      <c r="B561" t="s">
        <v>890</v>
      </c>
      <c r="C561">
        <v>48</v>
      </c>
      <c r="D561">
        <v>16</v>
      </c>
      <c r="E561">
        <v>3</v>
      </c>
      <c r="F561">
        <v>6</v>
      </c>
      <c r="G561">
        <v>532</v>
      </c>
      <c r="H561">
        <v>9434</v>
      </c>
    </row>
    <row r="562" spans="1:8">
      <c r="A562" t="s">
        <v>889</v>
      </c>
      <c r="B562" t="s">
        <v>890</v>
      </c>
      <c r="C562">
        <v>49</v>
      </c>
      <c r="D562">
        <v>17</v>
      </c>
      <c r="E562">
        <v>3</v>
      </c>
      <c r="F562">
        <v>6</v>
      </c>
      <c r="G562">
        <v>472</v>
      </c>
      <c r="H562">
        <v>13755</v>
      </c>
    </row>
    <row r="563" spans="1:8">
      <c r="A563" t="s">
        <v>889</v>
      </c>
      <c r="B563" t="s">
        <v>891</v>
      </c>
      <c r="C563">
        <v>50</v>
      </c>
      <c r="D563">
        <v>17</v>
      </c>
      <c r="E563">
        <v>4</v>
      </c>
      <c r="F563">
        <v>5</v>
      </c>
      <c r="G563">
        <v>159</v>
      </c>
      <c r="H563">
        <v>14259</v>
      </c>
    </row>
    <row r="564" spans="1:8">
      <c r="A564" t="s">
        <v>889</v>
      </c>
      <c r="B564" t="s">
        <v>890</v>
      </c>
      <c r="C564">
        <v>51</v>
      </c>
      <c r="D564">
        <v>17</v>
      </c>
      <c r="E564">
        <v>4</v>
      </c>
      <c r="F564">
        <v>5</v>
      </c>
      <c r="G564">
        <v>329</v>
      </c>
      <c r="H564">
        <v>9942</v>
      </c>
    </row>
    <row r="565" spans="1:8">
      <c r="A565" t="s">
        <v>889</v>
      </c>
      <c r="B565" t="s">
        <v>890</v>
      </c>
      <c r="C565">
        <v>52</v>
      </c>
      <c r="D565">
        <v>18</v>
      </c>
      <c r="E565">
        <v>4</v>
      </c>
      <c r="F565">
        <v>5</v>
      </c>
      <c r="G565">
        <v>457</v>
      </c>
      <c r="H565">
        <v>8389</v>
      </c>
    </row>
    <row r="566" spans="1:8">
      <c r="A566" t="s">
        <v>889</v>
      </c>
      <c r="B566" t="s">
        <v>891</v>
      </c>
      <c r="C566">
        <v>53</v>
      </c>
      <c r="D566">
        <v>18</v>
      </c>
      <c r="E566">
        <v>4</v>
      </c>
      <c r="F566">
        <v>5</v>
      </c>
      <c r="G566">
        <v>75</v>
      </c>
      <c r="H566">
        <v>8448</v>
      </c>
    </row>
    <row r="567" spans="1:8">
      <c r="A567" t="s">
        <v>893</v>
      </c>
      <c r="B567" t="s">
        <v>890</v>
      </c>
      <c r="C567">
        <v>54</v>
      </c>
      <c r="D567">
        <v>18</v>
      </c>
      <c r="E567">
        <v>4</v>
      </c>
      <c r="F567">
        <v>5</v>
      </c>
      <c r="G567">
        <v>395</v>
      </c>
      <c r="H567">
        <v>9843</v>
      </c>
    </row>
    <row r="568" spans="1:8">
      <c r="A568" t="s">
        <v>889</v>
      </c>
      <c r="B568" t="s">
        <v>890</v>
      </c>
      <c r="C568">
        <v>55</v>
      </c>
      <c r="D568">
        <v>19</v>
      </c>
      <c r="E568">
        <v>4</v>
      </c>
      <c r="F568">
        <v>5</v>
      </c>
      <c r="G568">
        <v>457</v>
      </c>
      <c r="H568">
        <v>11730</v>
      </c>
    </row>
    <row r="569" spans="1:8">
      <c r="A569" t="s">
        <v>889</v>
      </c>
      <c r="B569" t="s">
        <v>890</v>
      </c>
      <c r="C569">
        <v>56</v>
      </c>
      <c r="D569">
        <v>19</v>
      </c>
      <c r="E569">
        <v>4</v>
      </c>
      <c r="F569">
        <v>5</v>
      </c>
      <c r="G569">
        <v>389</v>
      </c>
      <c r="H569">
        <v>12373</v>
      </c>
    </row>
    <row r="570" spans="1:8">
      <c r="A570" t="s">
        <v>889</v>
      </c>
      <c r="B570" t="s">
        <v>890</v>
      </c>
      <c r="C570">
        <v>57</v>
      </c>
      <c r="D570">
        <v>19</v>
      </c>
      <c r="E570">
        <v>4</v>
      </c>
      <c r="F570">
        <v>5</v>
      </c>
      <c r="G570">
        <v>532</v>
      </c>
      <c r="H570">
        <v>13764</v>
      </c>
    </row>
    <row r="571" spans="1:8">
      <c r="A571" t="s">
        <v>889</v>
      </c>
      <c r="B571" t="s">
        <v>890</v>
      </c>
      <c r="C571">
        <v>58</v>
      </c>
      <c r="D571">
        <v>20</v>
      </c>
      <c r="E571">
        <v>4</v>
      </c>
      <c r="F571">
        <v>5</v>
      </c>
      <c r="G571">
        <v>485</v>
      </c>
      <c r="H571">
        <v>16089</v>
      </c>
    </row>
    <row r="572" spans="1:8">
      <c r="A572" t="s">
        <v>893</v>
      </c>
      <c r="B572" t="s">
        <v>890</v>
      </c>
      <c r="C572">
        <v>59</v>
      </c>
      <c r="D572">
        <v>20</v>
      </c>
      <c r="E572">
        <v>4</v>
      </c>
      <c r="F572">
        <v>5</v>
      </c>
      <c r="G572">
        <v>658</v>
      </c>
      <c r="H572">
        <v>17072</v>
      </c>
    </row>
    <row r="573" spans="1:8">
      <c r="A573" t="s">
        <v>889</v>
      </c>
      <c r="B573" t="s">
        <v>890</v>
      </c>
      <c r="C573">
        <v>60</v>
      </c>
      <c r="D573">
        <v>20</v>
      </c>
      <c r="E573">
        <v>4</v>
      </c>
      <c r="F573">
        <v>5</v>
      </c>
      <c r="G573">
        <v>588</v>
      </c>
      <c r="H573">
        <v>17344</v>
      </c>
    </row>
    <row r="574" spans="1:8">
      <c r="A574" t="s">
        <v>889</v>
      </c>
      <c r="B574" t="s">
        <v>890</v>
      </c>
      <c r="C574">
        <v>61</v>
      </c>
      <c r="D574">
        <v>21</v>
      </c>
      <c r="E574">
        <v>4</v>
      </c>
      <c r="F574">
        <v>5</v>
      </c>
      <c r="G574">
        <v>538</v>
      </c>
      <c r="H574">
        <v>20282</v>
      </c>
    </row>
    <row r="575" spans="1:8">
      <c r="A575" t="s">
        <v>889</v>
      </c>
      <c r="B575" t="s">
        <v>891</v>
      </c>
      <c r="C575">
        <v>62</v>
      </c>
      <c r="D575">
        <v>21</v>
      </c>
      <c r="E575">
        <v>4</v>
      </c>
      <c r="F575">
        <v>5</v>
      </c>
      <c r="G575">
        <v>155</v>
      </c>
      <c r="H575">
        <v>21096</v>
      </c>
    </row>
    <row r="576" spans="1:8">
      <c r="A576" t="s">
        <v>889</v>
      </c>
      <c r="B576" t="s">
        <v>890</v>
      </c>
      <c r="C576">
        <v>63</v>
      </c>
      <c r="D576">
        <v>21</v>
      </c>
      <c r="E576">
        <v>4</v>
      </c>
      <c r="F576">
        <v>5</v>
      </c>
      <c r="G576">
        <v>329</v>
      </c>
      <c r="H576">
        <v>21734</v>
      </c>
    </row>
    <row r="577" spans="1:8">
      <c r="A577" t="s">
        <v>893</v>
      </c>
      <c r="B577" t="s">
        <v>890</v>
      </c>
      <c r="C577">
        <v>64</v>
      </c>
      <c r="D577">
        <v>22</v>
      </c>
      <c r="E577">
        <v>4</v>
      </c>
      <c r="F577">
        <v>5</v>
      </c>
      <c r="G577">
        <v>843</v>
      </c>
      <c r="H577">
        <v>24528</v>
      </c>
    </row>
    <row r="578" spans="1:8">
      <c r="A578" t="s">
        <v>889</v>
      </c>
      <c r="B578" t="s">
        <v>890</v>
      </c>
      <c r="C578">
        <v>65</v>
      </c>
      <c r="D578">
        <v>22</v>
      </c>
      <c r="E578">
        <v>4</v>
      </c>
      <c r="F578">
        <v>5</v>
      </c>
      <c r="G578">
        <v>488</v>
      </c>
      <c r="H578">
        <v>26645</v>
      </c>
    </row>
    <row r="579" spans="1:8">
      <c r="A579" t="s">
        <v>889</v>
      </c>
      <c r="B579" t="s">
        <v>891</v>
      </c>
      <c r="C579">
        <v>66</v>
      </c>
      <c r="D579">
        <v>22</v>
      </c>
      <c r="E579">
        <v>4</v>
      </c>
      <c r="F579">
        <v>5</v>
      </c>
      <c r="G579">
        <v>53</v>
      </c>
      <c r="H579">
        <v>28487</v>
      </c>
    </row>
    <row r="580" spans="1:8">
      <c r="A580" t="s">
        <v>889</v>
      </c>
      <c r="B580" t="s">
        <v>890</v>
      </c>
      <c r="C580">
        <v>67</v>
      </c>
      <c r="D580">
        <v>23</v>
      </c>
      <c r="E580">
        <v>5</v>
      </c>
      <c r="F580">
        <v>4</v>
      </c>
      <c r="G580">
        <v>539</v>
      </c>
      <c r="H580">
        <v>31366</v>
      </c>
    </row>
    <row r="581" spans="1:8">
      <c r="A581" t="s">
        <v>889</v>
      </c>
      <c r="B581" t="s">
        <v>890</v>
      </c>
      <c r="C581">
        <v>68</v>
      </c>
      <c r="D581">
        <v>23</v>
      </c>
      <c r="E581">
        <v>5</v>
      </c>
      <c r="F581">
        <v>4</v>
      </c>
      <c r="G581">
        <v>456</v>
      </c>
      <c r="H581">
        <v>32706</v>
      </c>
    </row>
    <row r="582" spans="1:8">
      <c r="A582" t="s">
        <v>889</v>
      </c>
      <c r="B582" t="s">
        <v>892</v>
      </c>
      <c r="C582">
        <v>69</v>
      </c>
      <c r="D582">
        <v>23</v>
      </c>
      <c r="E582">
        <v>5</v>
      </c>
      <c r="F582">
        <v>4</v>
      </c>
      <c r="G582">
        <v>274</v>
      </c>
      <c r="H582">
        <v>29737</v>
      </c>
    </row>
    <row r="583" spans="1:8">
      <c r="A583" t="s">
        <v>889</v>
      </c>
      <c r="B583" t="s">
        <v>891</v>
      </c>
      <c r="C583">
        <v>70</v>
      </c>
      <c r="D583">
        <v>24</v>
      </c>
      <c r="E583">
        <v>5</v>
      </c>
      <c r="F583">
        <v>4</v>
      </c>
      <c r="G583">
        <v>66</v>
      </c>
      <c r="H583">
        <v>30771</v>
      </c>
    </row>
    <row r="584" spans="1:8">
      <c r="A584" t="s">
        <v>893</v>
      </c>
      <c r="B584" t="s">
        <v>890</v>
      </c>
      <c r="C584">
        <v>71</v>
      </c>
      <c r="D584">
        <v>24</v>
      </c>
      <c r="E584">
        <v>5</v>
      </c>
      <c r="F584">
        <v>4</v>
      </c>
      <c r="G584">
        <v>224</v>
      </c>
      <c r="H584">
        <v>31580</v>
      </c>
    </row>
    <row r="585" spans="1:8">
      <c r="A585" t="s">
        <v>889</v>
      </c>
      <c r="B585" t="s">
        <v>891</v>
      </c>
      <c r="C585">
        <v>72</v>
      </c>
      <c r="D585">
        <v>24</v>
      </c>
      <c r="E585">
        <v>5</v>
      </c>
      <c r="F585">
        <v>4</v>
      </c>
      <c r="G585">
        <v>169</v>
      </c>
      <c r="H585">
        <v>32166</v>
      </c>
    </row>
    <row r="586" spans="1:8">
      <c r="A586" t="s">
        <v>889</v>
      </c>
      <c r="B586" t="s">
        <v>890</v>
      </c>
      <c r="C586">
        <v>73</v>
      </c>
      <c r="D586">
        <v>25</v>
      </c>
      <c r="E586">
        <v>5</v>
      </c>
      <c r="F586">
        <v>4</v>
      </c>
      <c r="G586">
        <v>418</v>
      </c>
      <c r="H586">
        <v>34992</v>
      </c>
    </row>
    <row r="587" spans="1:8">
      <c r="A587" t="s">
        <v>889</v>
      </c>
      <c r="B587" t="s">
        <v>892</v>
      </c>
      <c r="C587">
        <v>74</v>
      </c>
      <c r="D587">
        <v>25</v>
      </c>
      <c r="E587">
        <v>5</v>
      </c>
      <c r="F587">
        <v>4</v>
      </c>
      <c r="G587">
        <v>249</v>
      </c>
      <c r="H587">
        <v>35618</v>
      </c>
    </row>
    <row r="588" spans="1:8">
      <c r="A588" t="s">
        <v>889</v>
      </c>
      <c r="B588" t="s">
        <v>890</v>
      </c>
      <c r="C588">
        <v>75</v>
      </c>
      <c r="D588">
        <v>25</v>
      </c>
      <c r="E588">
        <v>5</v>
      </c>
      <c r="F588">
        <v>4</v>
      </c>
      <c r="G588">
        <v>456</v>
      </c>
      <c r="H588">
        <v>36551</v>
      </c>
    </row>
    <row r="589" spans="1:8">
      <c r="A589" t="s">
        <v>893</v>
      </c>
      <c r="B589" t="s">
        <v>891</v>
      </c>
      <c r="C589">
        <v>76</v>
      </c>
      <c r="D589">
        <v>26</v>
      </c>
      <c r="E589">
        <v>5</v>
      </c>
      <c r="F589">
        <v>4</v>
      </c>
      <c r="G589">
        <v>191</v>
      </c>
      <c r="H589">
        <v>39028</v>
      </c>
    </row>
    <row r="590" spans="1:8">
      <c r="A590" t="s">
        <v>889</v>
      </c>
      <c r="B590" t="s">
        <v>890</v>
      </c>
      <c r="C590">
        <v>77</v>
      </c>
      <c r="D590">
        <v>26</v>
      </c>
      <c r="E590">
        <v>5</v>
      </c>
      <c r="F590">
        <v>4</v>
      </c>
      <c r="G590">
        <v>539</v>
      </c>
      <c r="H590">
        <v>39659</v>
      </c>
    </row>
    <row r="591" spans="1:8">
      <c r="A591" t="s">
        <v>889</v>
      </c>
      <c r="B591" t="s">
        <v>890</v>
      </c>
      <c r="C591">
        <v>78</v>
      </c>
      <c r="D591">
        <v>26</v>
      </c>
      <c r="E591">
        <v>5</v>
      </c>
      <c r="F591">
        <v>4</v>
      </c>
      <c r="G591">
        <v>479</v>
      </c>
      <c r="H591">
        <v>40700</v>
      </c>
    </row>
    <row r="592" spans="1:8">
      <c r="A592" t="s">
        <v>889</v>
      </c>
      <c r="B592" t="s">
        <v>890</v>
      </c>
      <c r="C592">
        <v>79</v>
      </c>
      <c r="D592">
        <v>27</v>
      </c>
      <c r="E592">
        <v>5</v>
      </c>
      <c r="F592">
        <v>4</v>
      </c>
      <c r="G592">
        <v>627</v>
      </c>
      <c r="H592">
        <v>44460</v>
      </c>
    </row>
    <row r="593" spans="1:8">
      <c r="A593" t="s">
        <v>889</v>
      </c>
      <c r="B593" t="s">
        <v>890</v>
      </c>
      <c r="C593">
        <v>80</v>
      </c>
      <c r="D593">
        <v>27</v>
      </c>
      <c r="E593">
        <v>5</v>
      </c>
      <c r="F593">
        <v>4</v>
      </c>
      <c r="G593">
        <v>567</v>
      </c>
      <c r="H593">
        <v>46374</v>
      </c>
    </row>
    <row r="594" spans="1:8">
      <c r="A594" t="s">
        <v>889</v>
      </c>
      <c r="B594" t="s">
        <v>890</v>
      </c>
      <c r="C594">
        <v>81</v>
      </c>
      <c r="D594">
        <v>27</v>
      </c>
      <c r="E594">
        <v>5</v>
      </c>
      <c r="F594">
        <v>4</v>
      </c>
      <c r="G594">
        <v>670</v>
      </c>
      <c r="H594">
        <v>47681</v>
      </c>
    </row>
    <row r="595" spans="1:8">
      <c r="A595" t="s">
        <v>889</v>
      </c>
      <c r="B595" t="s">
        <v>890</v>
      </c>
      <c r="C595">
        <v>82</v>
      </c>
      <c r="D595">
        <v>28</v>
      </c>
      <c r="E595">
        <v>5</v>
      </c>
      <c r="F595">
        <v>4</v>
      </c>
      <c r="G595">
        <v>608</v>
      </c>
      <c r="H595">
        <v>53527</v>
      </c>
    </row>
    <row r="596" spans="1:8">
      <c r="A596" t="s">
        <v>889</v>
      </c>
      <c r="B596" t="s">
        <v>890</v>
      </c>
      <c r="C596">
        <v>83</v>
      </c>
      <c r="D596">
        <v>28</v>
      </c>
      <c r="E596">
        <v>6</v>
      </c>
      <c r="F596">
        <v>3</v>
      </c>
      <c r="G596">
        <v>878</v>
      </c>
      <c r="H596">
        <v>57577</v>
      </c>
    </row>
    <row r="597" spans="1:8">
      <c r="A597" t="s">
        <v>889</v>
      </c>
      <c r="B597" t="s">
        <v>890</v>
      </c>
      <c r="C597">
        <v>84</v>
      </c>
      <c r="D597">
        <v>28</v>
      </c>
      <c r="E597">
        <v>6</v>
      </c>
      <c r="F597">
        <v>3</v>
      </c>
      <c r="G597">
        <v>803</v>
      </c>
      <c r="H597">
        <v>58017</v>
      </c>
    </row>
    <row r="598" spans="1:8">
      <c r="A598" t="s">
        <v>889</v>
      </c>
      <c r="B598" t="s">
        <v>890</v>
      </c>
      <c r="C598">
        <v>85</v>
      </c>
      <c r="D598">
        <v>29</v>
      </c>
      <c r="E598">
        <v>6</v>
      </c>
      <c r="F598">
        <v>3</v>
      </c>
      <c r="G598">
        <v>967</v>
      </c>
      <c r="H598">
        <v>57663</v>
      </c>
    </row>
    <row r="599" spans="1:8">
      <c r="A599" t="s">
        <v>889</v>
      </c>
      <c r="B599" t="s">
        <v>890</v>
      </c>
      <c r="C599">
        <v>86</v>
      </c>
      <c r="D599">
        <v>29</v>
      </c>
      <c r="E599">
        <v>6</v>
      </c>
      <c r="F599">
        <v>3</v>
      </c>
      <c r="G599">
        <v>892</v>
      </c>
      <c r="H599">
        <v>58688</v>
      </c>
    </row>
    <row r="600" spans="1:8">
      <c r="A600" t="s">
        <v>893</v>
      </c>
      <c r="B600" t="s">
        <v>890</v>
      </c>
      <c r="C600">
        <v>87</v>
      </c>
      <c r="D600">
        <v>29</v>
      </c>
      <c r="E600">
        <v>6</v>
      </c>
      <c r="F600">
        <v>3</v>
      </c>
      <c r="G600">
        <v>1082</v>
      </c>
      <c r="H600">
        <v>60135</v>
      </c>
    </row>
    <row r="601" spans="1:8">
      <c r="A601" t="s">
        <v>889</v>
      </c>
      <c r="B601" t="s">
        <v>892</v>
      </c>
      <c r="C601">
        <v>88</v>
      </c>
      <c r="D601">
        <v>30</v>
      </c>
      <c r="E601">
        <v>6</v>
      </c>
      <c r="F601">
        <v>3</v>
      </c>
      <c r="G601">
        <v>298</v>
      </c>
      <c r="H601">
        <v>61357</v>
      </c>
    </row>
    <row r="602" spans="1:8">
      <c r="A602" t="s">
        <v>889</v>
      </c>
      <c r="B602" t="s">
        <v>890</v>
      </c>
      <c r="C602">
        <v>89</v>
      </c>
      <c r="D602">
        <v>30</v>
      </c>
      <c r="E602">
        <v>6</v>
      </c>
      <c r="F602">
        <v>3</v>
      </c>
      <c r="G602">
        <v>892</v>
      </c>
      <c r="H602">
        <v>62272</v>
      </c>
    </row>
    <row r="603" spans="1:8">
      <c r="A603" t="s">
        <v>889</v>
      </c>
      <c r="B603" t="s">
        <v>891</v>
      </c>
      <c r="C603">
        <v>90</v>
      </c>
      <c r="D603">
        <v>30</v>
      </c>
      <c r="E603">
        <v>6</v>
      </c>
      <c r="F603">
        <v>3</v>
      </c>
      <c r="G603">
        <v>199</v>
      </c>
      <c r="H603">
        <v>62524</v>
      </c>
    </row>
    <row r="604" spans="1:8">
      <c r="A604" t="s">
        <v>889</v>
      </c>
      <c r="B604" t="s">
        <v>890</v>
      </c>
      <c r="C604">
        <v>91</v>
      </c>
      <c r="D604">
        <v>31</v>
      </c>
      <c r="E604">
        <v>6</v>
      </c>
      <c r="F604">
        <v>3</v>
      </c>
      <c r="G604">
        <v>491</v>
      </c>
      <c r="H604">
        <v>65284</v>
      </c>
    </row>
    <row r="605" spans="1:8">
      <c r="A605" t="s">
        <v>893</v>
      </c>
      <c r="B605" t="s">
        <v>890</v>
      </c>
      <c r="C605">
        <v>92</v>
      </c>
      <c r="D605">
        <v>31</v>
      </c>
      <c r="E605">
        <v>6</v>
      </c>
      <c r="F605">
        <v>3</v>
      </c>
      <c r="G605">
        <v>795</v>
      </c>
      <c r="H605">
        <v>66174</v>
      </c>
    </row>
    <row r="606" spans="1:8">
      <c r="A606" t="s">
        <v>889</v>
      </c>
      <c r="B606" t="s">
        <v>890</v>
      </c>
      <c r="C606">
        <v>93</v>
      </c>
      <c r="D606">
        <v>31</v>
      </c>
      <c r="E606">
        <v>6</v>
      </c>
      <c r="F606">
        <v>3</v>
      </c>
      <c r="G606">
        <v>700</v>
      </c>
      <c r="H606">
        <v>66192</v>
      </c>
    </row>
    <row r="607" spans="1:8">
      <c r="A607" t="s">
        <v>889</v>
      </c>
      <c r="B607" t="s">
        <v>890</v>
      </c>
      <c r="C607">
        <v>94</v>
      </c>
      <c r="D607">
        <v>32</v>
      </c>
      <c r="E607">
        <v>6</v>
      </c>
      <c r="F607">
        <v>3</v>
      </c>
      <c r="G607">
        <v>656</v>
      </c>
      <c r="H607">
        <v>71232</v>
      </c>
    </row>
    <row r="608" spans="1:8">
      <c r="A608" t="s">
        <v>889</v>
      </c>
      <c r="B608" t="s">
        <v>890</v>
      </c>
      <c r="C608">
        <v>95</v>
      </c>
      <c r="D608">
        <v>32</v>
      </c>
      <c r="E608">
        <v>6</v>
      </c>
      <c r="F608">
        <v>3</v>
      </c>
      <c r="G608">
        <v>789</v>
      </c>
      <c r="H608">
        <v>71484</v>
      </c>
    </row>
    <row r="609" spans="1:8">
      <c r="A609" t="s">
        <v>889</v>
      </c>
      <c r="B609" t="s">
        <v>892</v>
      </c>
      <c r="C609">
        <v>96</v>
      </c>
      <c r="D609">
        <v>32</v>
      </c>
      <c r="E609">
        <v>6</v>
      </c>
      <c r="F609">
        <v>3</v>
      </c>
      <c r="G609">
        <v>204</v>
      </c>
      <c r="H609">
        <v>71571</v>
      </c>
    </row>
    <row r="610" spans="1:8">
      <c r="A610" t="s">
        <v>893</v>
      </c>
      <c r="B610" t="s">
        <v>890</v>
      </c>
      <c r="C610">
        <v>97</v>
      </c>
      <c r="D610">
        <v>33</v>
      </c>
      <c r="E610">
        <v>6</v>
      </c>
      <c r="F610">
        <v>3</v>
      </c>
      <c r="G610">
        <v>1729</v>
      </c>
      <c r="H610">
        <v>75586</v>
      </c>
    </row>
    <row r="611" spans="1:8">
      <c r="A611" t="s">
        <v>889</v>
      </c>
      <c r="B611" t="s">
        <v>890</v>
      </c>
      <c r="C611">
        <v>98</v>
      </c>
      <c r="D611">
        <v>33</v>
      </c>
      <c r="E611">
        <v>6</v>
      </c>
      <c r="F611">
        <v>3</v>
      </c>
      <c r="G611">
        <v>878</v>
      </c>
      <c r="H611">
        <v>77067</v>
      </c>
    </row>
    <row r="612" spans="1:8">
      <c r="A612" t="s">
        <v>889</v>
      </c>
      <c r="B612" t="s">
        <v>890</v>
      </c>
      <c r="C612">
        <v>99</v>
      </c>
      <c r="D612">
        <v>33</v>
      </c>
      <c r="E612">
        <v>6</v>
      </c>
      <c r="F612">
        <v>3</v>
      </c>
      <c r="G612">
        <v>843</v>
      </c>
      <c r="H612">
        <v>80463</v>
      </c>
    </row>
    <row r="613" spans="1:8">
      <c r="A613" t="s">
        <v>889</v>
      </c>
      <c r="B613" t="s">
        <v>890</v>
      </c>
      <c r="C613">
        <v>100</v>
      </c>
      <c r="D613">
        <v>34</v>
      </c>
      <c r="E613">
        <v>7</v>
      </c>
      <c r="F613">
        <v>2</v>
      </c>
      <c r="G613">
        <v>1113</v>
      </c>
      <c r="H613">
        <v>84195</v>
      </c>
    </row>
    <row r="614" spans="1:8">
      <c r="A614" t="s">
        <v>889</v>
      </c>
      <c r="B614" t="s">
        <v>891</v>
      </c>
      <c r="C614">
        <v>101</v>
      </c>
      <c r="D614">
        <v>34</v>
      </c>
      <c r="E614">
        <v>7</v>
      </c>
      <c r="F614">
        <v>2</v>
      </c>
      <c r="G614">
        <v>124</v>
      </c>
      <c r="H614">
        <v>83393</v>
      </c>
    </row>
    <row r="615" spans="1:8">
      <c r="A615" t="s">
        <v>889</v>
      </c>
      <c r="B615" t="s">
        <v>891</v>
      </c>
      <c r="C615">
        <v>102</v>
      </c>
      <c r="D615">
        <v>34</v>
      </c>
      <c r="E615">
        <v>7</v>
      </c>
      <c r="F615">
        <v>2</v>
      </c>
      <c r="G615">
        <v>232</v>
      </c>
      <c r="H615">
        <v>81460</v>
      </c>
    </row>
    <row r="616" spans="1:8">
      <c r="A616" t="s">
        <v>889</v>
      </c>
      <c r="B616" t="s">
        <v>891</v>
      </c>
      <c r="C616">
        <v>103</v>
      </c>
      <c r="D616">
        <v>35</v>
      </c>
      <c r="E616">
        <v>7</v>
      </c>
      <c r="F616">
        <v>2</v>
      </c>
      <c r="G616">
        <v>92</v>
      </c>
      <c r="H616">
        <v>84118</v>
      </c>
    </row>
    <row r="617" spans="1:8">
      <c r="A617" t="s">
        <v>893</v>
      </c>
      <c r="B617" t="s">
        <v>890</v>
      </c>
      <c r="C617">
        <v>104</v>
      </c>
      <c r="D617">
        <v>35</v>
      </c>
      <c r="E617">
        <v>7</v>
      </c>
      <c r="F617">
        <v>2</v>
      </c>
      <c r="G617">
        <v>336</v>
      </c>
      <c r="H617">
        <v>84749</v>
      </c>
    </row>
    <row r="618" spans="1:8">
      <c r="A618" t="s">
        <v>889</v>
      </c>
      <c r="B618" t="s">
        <v>890</v>
      </c>
      <c r="C618">
        <v>105</v>
      </c>
      <c r="D618">
        <v>35</v>
      </c>
      <c r="E618">
        <v>7</v>
      </c>
      <c r="F618">
        <v>2</v>
      </c>
      <c r="G618">
        <v>754</v>
      </c>
      <c r="H618">
        <v>85743</v>
      </c>
    </row>
    <row r="619" spans="1:8">
      <c r="A619" t="s">
        <v>889</v>
      </c>
      <c r="B619" t="s">
        <v>891</v>
      </c>
      <c r="C619">
        <v>106</v>
      </c>
      <c r="D619">
        <v>36</v>
      </c>
      <c r="E619">
        <v>7</v>
      </c>
      <c r="F619">
        <v>2</v>
      </c>
      <c r="G619">
        <v>118</v>
      </c>
      <c r="H619">
        <v>87627</v>
      </c>
    </row>
    <row r="620" spans="1:8">
      <c r="A620" t="s">
        <v>889</v>
      </c>
      <c r="B620" t="s">
        <v>891</v>
      </c>
      <c r="C620">
        <v>107</v>
      </c>
      <c r="D620">
        <v>36</v>
      </c>
      <c r="E620">
        <v>7</v>
      </c>
      <c r="F620">
        <v>2</v>
      </c>
      <c r="G620">
        <v>237</v>
      </c>
      <c r="H620">
        <v>88039</v>
      </c>
    </row>
    <row r="621" spans="1:8">
      <c r="A621" t="s">
        <v>889</v>
      </c>
      <c r="B621" t="s">
        <v>891</v>
      </c>
      <c r="C621">
        <v>108</v>
      </c>
      <c r="D621">
        <v>36</v>
      </c>
      <c r="E621">
        <v>7</v>
      </c>
      <c r="F621">
        <v>2</v>
      </c>
      <c r="G621">
        <v>118</v>
      </c>
      <c r="H621">
        <v>88132</v>
      </c>
    </row>
    <row r="622" spans="1:8">
      <c r="A622" t="s">
        <v>893</v>
      </c>
      <c r="B622" t="s">
        <v>890</v>
      </c>
      <c r="C622">
        <v>109</v>
      </c>
      <c r="D622">
        <v>37</v>
      </c>
      <c r="E622">
        <v>7</v>
      </c>
      <c r="F622">
        <v>2</v>
      </c>
      <c r="G622">
        <v>723</v>
      </c>
      <c r="H622">
        <v>90141</v>
      </c>
    </row>
    <row r="623" spans="1:8">
      <c r="A623" t="s">
        <v>889</v>
      </c>
      <c r="B623" t="s">
        <v>891</v>
      </c>
      <c r="C623">
        <v>110</v>
      </c>
      <c r="D623">
        <v>37</v>
      </c>
      <c r="E623">
        <v>7</v>
      </c>
      <c r="F623">
        <v>2</v>
      </c>
      <c r="G623">
        <v>264</v>
      </c>
      <c r="H623">
        <v>89600</v>
      </c>
    </row>
    <row r="624" spans="1:8">
      <c r="A624" t="s">
        <v>889</v>
      </c>
      <c r="B624" t="s">
        <v>890</v>
      </c>
      <c r="C624">
        <v>111</v>
      </c>
      <c r="D624">
        <v>37</v>
      </c>
      <c r="E624">
        <v>7</v>
      </c>
      <c r="F624">
        <v>2</v>
      </c>
      <c r="G624">
        <v>563</v>
      </c>
      <c r="H624">
        <v>90313</v>
      </c>
    </row>
    <row r="625" spans="1:8">
      <c r="A625" t="s">
        <v>889</v>
      </c>
      <c r="B625" t="s">
        <v>891</v>
      </c>
      <c r="C625">
        <v>112</v>
      </c>
      <c r="D625">
        <v>38</v>
      </c>
      <c r="E625">
        <v>7</v>
      </c>
      <c r="F625">
        <v>2</v>
      </c>
      <c r="G625">
        <v>258</v>
      </c>
      <c r="H625">
        <v>92912</v>
      </c>
    </row>
    <row r="626" spans="1:8">
      <c r="A626" t="s">
        <v>889</v>
      </c>
      <c r="B626" t="s">
        <v>892</v>
      </c>
      <c r="C626">
        <v>113</v>
      </c>
      <c r="D626">
        <v>38</v>
      </c>
      <c r="E626">
        <v>7</v>
      </c>
      <c r="F626">
        <v>2</v>
      </c>
      <c r="G626">
        <v>233</v>
      </c>
      <c r="H626">
        <v>93600</v>
      </c>
    </row>
    <row r="627" spans="1:8">
      <c r="A627" t="s">
        <v>893</v>
      </c>
      <c r="B627" t="s">
        <v>891</v>
      </c>
      <c r="C627">
        <v>114</v>
      </c>
      <c r="D627">
        <v>38</v>
      </c>
      <c r="E627">
        <v>7</v>
      </c>
      <c r="F627">
        <v>2</v>
      </c>
      <c r="G627">
        <v>97</v>
      </c>
      <c r="H627">
        <v>93792</v>
      </c>
    </row>
    <row r="628" spans="1:8">
      <c r="A628" t="s">
        <v>889</v>
      </c>
      <c r="B628" t="s">
        <v>892</v>
      </c>
      <c r="C628">
        <v>115</v>
      </c>
      <c r="D628">
        <v>39</v>
      </c>
      <c r="E628">
        <v>7</v>
      </c>
      <c r="F628">
        <v>2</v>
      </c>
      <c r="G628">
        <v>373</v>
      </c>
      <c r="H628">
        <v>96686</v>
      </c>
    </row>
    <row r="629" spans="1:8">
      <c r="A629" t="s">
        <v>889</v>
      </c>
      <c r="B629" t="s">
        <v>890</v>
      </c>
      <c r="C629">
        <v>116</v>
      </c>
      <c r="D629">
        <v>39</v>
      </c>
      <c r="E629">
        <v>7</v>
      </c>
      <c r="F629">
        <v>2</v>
      </c>
      <c r="G629">
        <v>563</v>
      </c>
      <c r="H629">
        <v>97409</v>
      </c>
    </row>
    <row r="630" spans="1:8">
      <c r="A630" t="s">
        <v>889</v>
      </c>
      <c r="B630" t="s">
        <v>890</v>
      </c>
      <c r="C630">
        <v>117</v>
      </c>
      <c r="D630">
        <v>39</v>
      </c>
      <c r="E630">
        <v>8</v>
      </c>
      <c r="F630">
        <v>2</v>
      </c>
      <c r="G630">
        <v>754</v>
      </c>
      <c r="H630">
        <v>100133</v>
      </c>
    </row>
    <row r="631" spans="1:8">
      <c r="A631" t="s">
        <v>889</v>
      </c>
      <c r="B631" t="s">
        <v>890</v>
      </c>
      <c r="C631">
        <v>118</v>
      </c>
      <c r="D631">
        <v>40</v>
      </c>
      <c r="E631">
        <v>8</v>
      </c>
      <c r="F631">
        <v>2</v>
      </c>
      <c r="G631">
        <v>666</v>
      </c>
      <c r="H631">
        <v>102100</v>
      </c>
    </row>
    <row r="632" spans="1:8">
      <c r="A632" t="s">
        <v>889</v>
      </c>
      <c r="B632" t="s">
        <v>890</v>
      </c>
      <c r="C632">
        <v>119</v>
      </c>
      <c r="D632">
        <v>40</v>
      </c>
      <c r="E632">
        <v>8</v>
      </c>
      <c r="F632">
        <v>2</v>
      </c>
      <c r="G632">
        <v>857</v>
      </c>
      <c r="H632">
        <v>103832</v>
      </c>
    </row>
    <row r="633" spans="1:8">
      <c r="A633" t="s">
        <v>889</v>
      </c>
      <c r="B633" t="s">
        <v>890</v>
      </c>
      <c r="C633">
        <v>120</v>
      </c>
      <c r="D633">
        <v>40</v>
      </c>
      <c r="E633">
        <v>8</v>
      </c>
      <c r="F633">
        <v>2</v>
      </c>
      <c r="G633">
        <v>806</v>
      </c>
      <c r="H633">
        <v>106773</v>
      </c>
    </row>
    <row r="634" spans="1:8">
      <c r="A634" t="s">
        <v>893</v>
      </c>
      <c r="B634" t="s">
        <v>890</v>
      </c>
      <c r="C634">
        <v>121</v>
      </c>
      <c r="D634">
        <v>41</v>
      </c>
      <c r="E634">
        <v>8</v>
      </c>
      <c r="F634">
        <v>2</v>
      </c>
      <c r="G634">
        <v>940</v>
      </c>
      <c r="H634">
        <v>110069</v>
      </c>
    </row>
    <row r="635" spans="1:8">
      <c r="A635" t="s">
        <v>889</v>
      </c>
      <c r="B635" t="s">
        <v>890</v>
      </c>
      <c r="C635">
        <v>122</v>
      </c>
      <c r="D635">
        <v>41</v>
      </c>
      <c r="E635">
        <v>8</v>
      </c>
      <c r="F635">
        <v>2</v>
      </c>
      <c r="G635">
        <v>1010</v>
      </c>
      <c r="H635">
        <v>112864</v>
      </c>
    </row>
    <row r="636" spans="1:8">
      <c r="A636" t="s">
        <v>889</v>
      </c>
      <c r="B636" t="s">
        <v>892</v>
      </c>
      <c r="C636">
        <v>123</v>
      </c>
      <c r="D636">
        <v>41</v>
      </c>
      <c r="E636">
        <v>8</v>
      </c>
      <c r="F636">
        <v>2</v>
      </c>
      <c r="G636">
        <v>233</v>
      </c>
      <c r="H636">
        <v>113987</v>
      </c>
    </row>
    <row r="637" spans="1:8">
      <c r="A637" t="s">
        <v>889</v>
      </c>
      <c r="B637" t="s">
        <v>891</v>
      </c>
      <c r="C637">
        <v>124</v>
      </c>
      <c r="D637">
        <v>42</v>
      </c>
      <c r="E637">
        <v>8</v>
      </c>
      <c r="F637">
        <v>2</v>
      </c>
      <c r="G637">
        <v>232</v>
      </c>
      <c r="H637">
        <v>116355</v>
      </c>
    </row>
    <row r="638" spans="1:8">
      <c r="A638" t="s">
        <v>889</v>
      </c>
      <c r="B638" t="s">
        <v>890</v>
      </c>
      <c r="C638">
        <v>125</v>
      </c>
      <c r="D638">
        <v>42</v>
      </c>
      <c r="E638">
        <v>8</v>
      </c>
      <c r="F638">
        <v>2</v>
      </c>
      <c r="G638">
        <v>563</v>
      </c>
      <c r="H638">
        <v>116963</v>
      </c>
    </row>
    <row r="639" spans="1:8">
      <c r="A639" t="s">
        <v>893</v>
      </c>
      <c r="B639" t="s">
        <v>890</v>
      </c>
      <c r="C639">
        <v>126</v>
      </c>
      <c r="D639">
        <v>42</v>
      </c>
      <c r="E639">
        <v>8</v>
      </c>
      <c r="F639">
        <v>2</v>
      </c>
      <c r="G639">
        <v>837</v>
      </c>
      <c r="H639">
        <v>118290</v>
      </c>
    </row>
    <row r="640" spans="1:8">
      <c r="A640" t="s">
        <v>889</v>
      </c>
      <c r="B640" t="s">
        <v>890</v>
      </c>
      <c r="C640">
        <v>127</v>
      </c>
      <c r="D640">
        <v>43</v>
      </c>
      <c r="E640">
        <v>8</v>
      </c>
      <c r="F640">
        <v>2</v>
      </c>
      <c r="G640">
        <v>838</v>
      </c>
      <c r="H640">
        <v>119374</v>
      </c>
    </row>
    <row r="641" spans="1:8">
      <c r="A641" t="s">
        <v>889</v>
      </c>
      <c r="B641" t="s">
        <v>892</v>
      </c>
      <c r="C641">
        <v>128</v>
      </c>
      <c r="D641">
        <v>43</v>
      </c>
      <c r="E641">
        <v>8</v>
      </c>
      <c r="F641">
        <v>2</v>
      </c>
      <c r="G641">
        <v>233</v>
      </c>
      <c r="H641">
        <v>119722</v>
      </c>
    </row>
    <row r="642" spans="1:8">
      <c r="A642" t="s">
        <v>889</v>
      </c>
      <c r="B642" t="s">
        <v>891</v>
      </c>
      <c r="C642">
        <v>129</v>
      </c>
      <c r="D642">
        <v>43</v>
      </c>
      <c r="E642">
        <v>8</v>
      </c>
      <c r="F642">
        <v>2</v>
      </c>
      <c r="G642">
        <v>258</v>
      </c>
      <c r="H642">
        <v>119335</v>
      </c>
    </row>
    <row r="643" spans="1:8">
      <c r="A643" t="s">
        <v>889</v>
      </c>
      <c r="B643" t="s">
        <v>890</v>
      </c>
      <c r="C643">
        <v>130</v>
      </c>
      <c r="D643">
        <v>44</v>
      </c>
      <c r="E643">
        <v>8</v>
      </c>
      <c r="F643">
        <v>2</v>
      </c>
      <c r="G643">
        <v>563</v>
      </c>
      <c r="H643">
        <v>121819</v>
      </c>
    </row>
    <row r="644" spans="1:8">
      <c r="A644" t="s">
        <v>893</v>
      </c>
      <c r="B644" t="s">
        <v>890</v>
      </c>
      <c r="C644">
        <v>131</v>
      </c>
      <c r="D644">
        <v>44</v>
      </c>
      <c r="E644">
        <v>8</v>
      </c>
      <c r="F644">
        <v>2</v>
      </c>
      <c r="G644">
        <v>1734</v>
      </c>
      <c r="H644">
        <v>124553</v>
      </c>
    </row>
    <row r="645" spans="1:8">
      <c r="A645" t="s">
        <v>889</v>
      </c>
      <c r="B645" t="s">
        <v>890</v>
      </c>
      <c r="C645">
        <v>132</v>
      </c>
      <c r="D645">
        <v>44</v>
      </c>
      <c r="E645">
        <v>8</v>
      </c>
      <c r="F645">
        <v>2</v>
      </c>
      <c r="G645">
        <v>806</v>
      </c>
      <c r="H645">
        <v>126234</v>
      </c>
    </row>
    <row r="646" spans="1:8">
      <c r="A646" t="s">
        <v>889</v>
      </c>
      <c r="B646" t="s">
        <v>892</v>
      </c>
      <c r="C646">
        <v>133</v>
      </c>
      <c r="D646">
        <v>45</v>
      </c>
      <c r="E646">
        <v>8</v>
      </c>
      <c r="F646">
        <v>2</v>
      </c>
      <c r="G646">
        <v>218</v>
      </c>
      <c r="H646">
        <v>130388</v>
      </c>
    </row>
    <row r="647" spans="1:8">
      <c r="A647" t="s">
        <v>889</v>
      </c>
      <c r="B647" t="s">
        <v>890</v>
      </c>
      <c r="C647">
        <v>134</v>
      </c>
      <c r="D647">
        <v>45</v>
      </c>
      <c r="E647">
        <v>9</v>
      </c>
      <c r="F647">
        <v>1</v>
      </c>
      <c r="G647">
        <v>969</v>
      </c>
      <c r="H647">
        <v>132017</v>
      </c>
    </row>
    <row r="648" spans="1:8">
      <c r="A648" t="s">
        <v>889</v>
      </c>
      <c r="B648" t="s">
        <v>890</v>
      </c>
      <c r="C648">
        <v>135</v>
      </c>
      <c r="D648">
        <v>45</v>
      </c>
      <c r="E648">
        <v>9</v>
      </c>
      <c r="F648">
        <v>1</v>
      </c>
      <c r="G648">
        <v>910</v>
      </c>
      <c r="H648">
        <v>133482</v>
      </c>
    </row>
    <row r="649" spans="1:8">
      <c r="A649" t="s">
        <v>894</v>
      </c>
      <c r="B649" t="s">
        <v>890</v>
      </c>
      <c r="C649">
        <v>136</v>
      </c>
      <c r="D649">
        <v>46</v>
      </c>
      <c r="E649">
        <v>9</v>
      </c>
      <c r="F649">
        <v>1</v>
      </c>
      <c r="G649">
        <v>1075</v>
      </c>
      <c r="H649">
        <v>135883</v>
      </c>
    </row>
    <row r="650" spans="1:8">
      <c r="A650" t="s">
        <v>889</v>
      </c>
      <c r="B650" t="s">
        <v>890</v>
      </c>
      <c r="C650">
        <v>137</v>
      </c>
      <c r="D650">
        <v>46</v>
      </c>
      <c r="E650">
        <v>9</v>
      </c>
      <c r="F650">
        <v>1</v>
      </c>
      <c r="G650">
        <v>1143</v>
      </c>
      <c r="H650">
        <v>138181</v>
      </c>
    </row>
    <row r="651" spans="1:8">
      <c r="A651" t="s">
        <v>889</v>
      </c>
      <c r="B651" t="s">
        <v>890</v>
      </c>
      <c r="C651">
        <v>138</v>
      </c>
      <c r="D651">
        <v>46</v>
      </c>
      <c r="E651">
        <v>9</v>
      </c>
      <c r="F651">
        <v>1</v>
      </c>
      <c r="G651">
        <v>1040</v>
      </c>
      <c r="H651">
        <v>139331</v>
      </c>
    </row>
    <row r="652" spans="1:8">
      <c r="A652" t="s">
        <v>893</v>
      </c>
      <c r="B652" t="s">
        <v>890</v>
      </c>
      <c r="C652">
        <v>139</v>
      </c>
      <c r="D652">
        <v>47</v>
      </c>
      <c r="E652">
        <v>9</v>
      </c>
      <c r="F652">
        <v>1</v>
      </c>
      <c r="G652">
        <v>1348</v>
      </c>
      <c r="H652">
        <v>142305</v>
      </c>
    </row>
    <row r="653" spans="1:8">
      <c r="A653" t="s">
        <v>889</v>
      </c>
      <c r="B653" t="s">
        <v>892</v>
      </c>
      <c r="C653">
        <v>140</v>
      </c>
      <c r="D653">
        <v>47</v>
      </c>
      <c r="E653">
        <v>9</v>
      </c>
      <c r="F653">
        <v>1</v>
      </c>
      <c r="G653">
        <v>423</v>
      </c>
      <c r="H653">
        <v>142903</v>
      </c>
    </row>
    <row r="654" spans="1:8">
      <c r="A654" t="s">
        <v>894</v>
      </c>
      <c r="B654" t="s">
        <v>892</v>
      </c>
      <c r="C654">
        <v>141</v>
      </c>
      <c r="D654">
        <v>47</v>
      </c>
      <c r="E654">
        <v>9</v>
      </c>
      <c r="F654">
        <v>1</v>
      </c>
      <c r="G654">
        <v>423</v>
      </c>
      <c r="H654">
        <v>144376</v>
      </c>
    </row>
    <row r="655" spans="1:8">
      <c r="A655" t="s">
        <v>889</v>
      </c>
      <c r="B655" t="s">
        <v>890</v>
      </c>
      <c r="C655">
        <v>142</v>
      </c>
      <c r="D655">
        <v>48</v>
      </c>
      <c r="E655">
        <v>9</v>
      </c>
      <c r="F655">
        <v>1</v>
      </c>
      <c r="G655">
        <v>1156</v>
      </c>
      <c r="H655">
        <v>146778</v>
      </c>
    </row>
    <row r="656" spans="1:8">
      <c r="A656" t="s">
        <v>889</v>
      </c>
      <c r="B656" t="s">
        <v>891</v>
      </c>
      <c r="C656">
        <v>143</v>
      </c>
      <c r="D656">
        <v>48</v>
      </c>
      <c r="E656">
        <v>9</v>
      </c>
      <c r="F656">
        <v>1</v>
      </c>
      <c r="G656">
        <v>266</v>
      </c>
      <c r="H656">
        <v>147129</v>
      </c>
    </row>
    <row r="657" spans="1:8">
      <c r="A657" t="s">
        <v>894</v>
      </c>
      <c r="B657" t="s">
        <v>892</v>
      </c>
      <c r="C657">
        <v>144</v>
      </c>
      <c r="D657">
        <v>48</v>
      </c>
      <c r="E657">
        <v>9</v>
      </c>
      <c r="F657">
        <v>1</v>
      </c>
      <c r="G657">
        <v>423</v>
      </c>
      <c r="H657">
        <v>147877</v>
      </c>
    </row>
    <row r="658" spans="1:8">
      <c r="A658" t="s">
        <v>889</v>
      </c>
      <c r="B658" t="s">
        <v>890</v>
      </c>
      <c r="C658">
        <v>145</v>
      </c>
      <c r="D658">
        <v>49</v>
      </c>
      <c r="E658">
        <v>9</v>
      </c>
      <c r="F658">
        <v>1</v>
      </c>
      <c r="G658">
        <v>636</v>
      </c>
      <c r="H658">
        <v>150094</v>
      </c>
    </row>
    <row r="659" spans="1:8">
      <c r="A659" t="s">
        <v>893</v>
      </c>
      <c r="B659" t="s">
        <v>891</v>
      </c>
      <c r="C659">
        <v>146</v>
      </c>
      <c r="D659">
        <v>49</v>
      </c>
      <c r="E659">
        <v>9</v>
      </c>
      <c r="F659">
        <v>1</v>
      </c>
      <c r="G659">
        <v>131</v>
      </c>
      <c r="H659">
        <v>150295</v>
      </c>
    </row>
    <row r="660" spans="1:8">
      <c r="A660" t="s">
        <v>889</v>
      </c>
      <c r="B660" t="s">
        <v>890</v>
      </c>
      <c r="C660">
        <v>147</v>
      </c>
      <c r="D660">
        <v>49</v>
      </c>
      <c r="E660">
        <v>9</v>
      </c>
      <c r="F660">
        <v>1</v>
      </c>
      <c r="G660">
        <v>828</v>
      </c>
      <c r="H660">
        <v>150523</v>
      </c>
    </row>
    <row r="661" spans="1:8">
      <c r="A661" t="s">
        <v>889</v>
      </c>
      <c r="B661" t="s">
        <v>891</v>
      </c>
      <c r="C661">
        <v>148</v>
      </c>
      <c r="D661">
        <v>50</v>
      </c>
      <c r="E661">
        <v>9</v>
      </c>
      <c r="F661">
        <v>1</v>
      </c>
      <c r="G661">
        <v>131</v>
      </c>
      <c r="H661">
        <v>151435</v>
      </c>
    </row>
    <row r="662" spans="1:8">
      <c r="A662" t="s">
        <v>894</v>
      </c>
      <c r="B662" t="s">
        <v>890</v>
      </c>
      <c r="C662">
        <v>149</v>
      </c>
      <c r="D662">
        <v>50</v>
      </c>
      <c r="E662">
        <v>9</v>
      </c>
      <c r="F662">
        <v>1</v>
      </c>
      <c r="G662">
        <v>1196</v>
      </c>
      <c r="H662">
        <v>153496</v>
      </c>
    </row>
    <row r="663" spans="1:8">
      <c r="A663" t="s">
        <v>889</v>
      </c>
      <c r="B663" t="s">
        <v>890</v>
      </c>
      <c r="C663">
        <v>150</v>
      </c>
      <c r="D663">
        <v>50</v>
      </c>
      <c r="E663">
        <v>9</v>
      </c>
      <c r="F663">
        <v>1</v>
      </c>
      <c r="G663">
        <v>888</v>
      </c>
      <c r="H663">
        <v>153919</v>
      </c>
    </row>
    <row r="664" spans="1:8">
      <c r="A664" t="s">
        <v>889</v>
      </c>
      <c r="B664" t="s">
        <v>891</v>
      </c>
      <c r="C664">
        <v>151</v>
      </c>
      <c r="D664">
        <v>51</v>
      </c>
      <c r="E664">
        <v>9</v>
      </c>
      <c r="F664">
        <v>1</v>
      </c>
      <c r="G664">
        <v>106</v>
      </c>
      <c r="H664">
        <v>154896</v>
      </c>
    </row>
    <row r="665" spans="1:8">
      <c r="A665" t="s">
        <v>889</v>
      </c>
      <c r="B665" t="s">
        <v>891</v>
      </c>
      <c r="C665">
        <v>152</v>
      </c>
      <c r="D665">
        <v>51</v>
      </c>
      <c r="E665">
        <v>9</v>
      </c>
      <c r="F665">
        <v>1</v>
      </c>
      <c r="G665">
        <v>266</v>
      </c>
      <c r="H665">
        <v>155217</v>
      </c>
    </row>
    <row r="666" spans="1:8">
      <c r="A666" t="s">
        <v>894</v>
      </c>
      <c r="B666" t="s">
        <v>890</v>
      </c>
      <c r="C666">
        <v>153</v>
      </c>
      <c r="D666">
        <v>51</v>
      </c>
      <c r="E666">
        <v>9</v>
      </c>
      <c r="F666">
        <v>1</v>
      </c>
      <c r="G666">
        <v>3463</v>
      </c>
      <c r="H666">
        <v>159425</v>
      </c>
    </row>
    <row r="667" spans="1:8">
      <c r="A667" t="s">
        <v>889</v>
      </c>
      <c r="B667" t="s">
        <v>891</v>
      </c>
      <c r="C667">
        <v>154</v>
      </c>
      <c r="D667">
        <v>52</v>
      </c>
      <c r="E667">
        <v>9</v>
      </c>
      <c r="F667">
        <v>1</v>
      </c>
      <c r="G667">
        <v>131</v>
      </c>
      <c r="H667">
        <v>162712</v>
      </c>
    </row>
    <row r="668" spans="1:8">
      <c r="A668" t="s">
        <v>895</v>
      </c>
      <c r="B668" t="s">
        <v>890</v>
      </c>
      <c r="C668">
        <v>155</v>
      </c>
      <c r="D668">
        <v>52</v>
      </c>
      <c r="E668">
        <v>10</v>
      </c>
      <c r="F668">
        <v>1</v>
      </c>
      <c r="G668">
        <v>1396</v>
      </c>
      <c r="H668">
        <v>164688</v>
      </c>
    </row>
    <row r="669" spans="1:8">
      <c r="A669" t="s">
        <v>895</v>
      </c>
      <c r="B669" t="s">
        <v>890</v>
      </c>
      <c r="C669">
        <v>156</v>
      </c>
      <c r="D669">
        <v>52</v>
      </c>
      <c r="E669">
        <v>10</v>
      </c>
      <c r="F669">
        <v>1</v>
      </c>
      <c r="G669">
        <v>4516</v>
      </c>
      <c r="H669">
        <v>169319</v>
      </c>
    </row>
    <row r="670" spans="1:8">
      <c r="A670" t="s">
        <v>889</v>
      </c>
      <c r="B670" t="s">
        <v>891</v>
      </c>
      <c r="C670">
        <v>157</v>
      </c>
      <c r="D670">
        <v>53</v>
      </c>
      <c r="E670">
        <v>10</v>
      </c>
      <c r="F670">
        <v>1</v>
      </c>
      <c r="G670">
        <v>291</v>
      </c>
      <c r="H670">
        <v>170771</v>
      </c>
    </row>
    <row r="671" spans="1:8">
      <c r="A671" t="s">
        <v>889</v>
      </c>
      <c r="B671" t="s">
        <v>890</v>
      </c>
      <c r="C671">
        <v>158</v>
      </c>
      <c r="D671">
        <v>53</v>
      </c>
      <c r="E671">
        <v>10</v>
      </c>
      <c r="F671">
        <v>1</v>
      </c>
      <c r="G671">
        <v>696</v>
      </c>
      <c r="H671">
        <v>173022</v>
      </c>
    </row>
    <row r="672" spans="1:8">
      <c r="A672" t="s">
        <v>894</v>
      </c>
      <c r="B672" t="s">
        <v>890</v>
      </c>
      <c r="C672">
        <v>159</v>
      </c>
      <c r="D672">
        <v>53</v>
      </c>
      <c r="E672">
        <v>10</v>
      </c>
      <c r="F672">
        <v>1</v>
      </c>
      <c r="G672">
        <v>844</v>
      </c>
      <c r="H672">
        <v>174016</v>
      </c>
    </row>
    <row r="673" spans="1:8">
      <c r="A673" t="s">
        <v>889</v>
      </c>
      <c r="B673" t="s">
        <v>891</v>
      </c>
      <c r="C673">
        <v>160</v>
      </c>
      <c r="D673">
        <v>54</v>
      </c>
      <c r="E673">
        <v>10</v>
      </c>
      <c r="F673">
        <v>1</v>
      </c>
      <c r="G673">
        <v>266</v>
      </c>
      <c r="H673">
        <v>175433</v>
      </c>
    </row>
    <row r="674" spans="1:8">
      <c r="A674" t="s">
        <v>889</v>
      </c>
      <c r="B674" t="s">
        <v>890</v>
      </c>
      <c r="C674">
        <v>161</v>
      </c>
      <c r="D674">
        <v>54</v>
      </c>
      <c r="E674">
        <v>10</v>
      </c>
      <c r="F674">
        <v>1</v>
      </c>
      <c r="G674">
        <v>663</v>
      </c>
      <c r="H674">
        <v>177426</v>
      </c>
    </row>
    <row r="675" spans="1:8">
      <c r="A675" t="s">
        <v>893</v>
      </c>
      <c r="B675" t="s">
        <v>891</v>
      </c>
      <c r="C675">
        <v>162</v>
      </c>
      <c r="D675">
        <v>54</v>
      </c>
      <c r="E675">
        <v>10</v>
      </c>
      <c r="F675">
        <v>1</v>
      </c>
      <c r="G675">
        <v>106</v>
      </c>
      <c r="H675">
        <v>177582</v>
      </c>
    </row>
    <row r="676" spans="1:8">
      <c r="A676" t="s">
        <v>889</v>
      </c>
      <c r="B676" t="s">
        <v>891</v>
      </c>
      <c r="C676">
        <v>163</v>
      </c>
      <c r="D676">
        <v>55</v>
      </c>
      <c r="E676">
        <v>10</v>
      </c>
      <c r="F676">
        <v>1</v>
      </c>
      <c r="G676">
        <v>291</v>
      </c>
      <c r="H676">
        <v>179269</v>
      </c>
    </row>
    <row r="677" spans="1:8">
      <c r="A677" t="s">
        <v>894</v>
      </c>
      <c r="B677" t="s">
        <v>892</v>
      </c>
      <c r="C677">
        <v>164</v>
      </c>
      <c r="D677">
        <v>55</v>
      </c>
      <c r="E677">
        <v>10</v>
      </c>
      <c r="F677">
        <v>1</v>
      </c>
      <c r="G677">
        <v>423</v>
      </c>
      <c r="H677">
        <v>179777</v>
      </c>
    </row>
    <row r="678" spans="1:8">
      <c r="A678" t="s">
        <v>889</v>
      </c>
      <c r="B678" t="s">
        <v>890</v>
      </c>
      <c r="C678">
        <v>165</v>
      </c>
      <c r="D678">
        <v>55</v>
      </c>
      <c r="E678">
        <v>10</v>
      </c>
      <c r="F678">
        <v>1</v>
      </c>
      <c r="G678">
        <v>668</v>
      </c>
      <c r="H678">
        <v>180990</v>
      </c>
    </row>
    <row r="679" spans="1:8">
      <c r="A679" t="s">
        <v>889</v>
      </c>
      <c r="B679" t="s">
        <v>891</v>
      </c>
      <c r="C679">
        <v>166</v>
      </c>
      <c r="D679">
        <v>56</v>
      </c>
      <c r="E679">
        <v>10</v>
      </c>
      <c r="F679">
        <v>1</v>
      </c>
      <c r="G679">
        <v>291</v>
      </c>
      <c r="H679">
        <v>182647</v>
      </c>
    </row>
    <row r="680" spans="1:8">
      <c r="A680" t="s">
        <v>894</v>
      </c>
      <c r="B680" t="s">
        <v>892</v>
      </c>
      <c r="C680">
        <v>167</v>
      </c>
      <c r="D680">
        <v>56</v>
      </c>
      <c r="E680">
        <v>10</v>
      </c>
      <c r="F680">
        <v>1</v>
      </c>
      <c r="G680">
        <v>423</v>
      </c>
      <c r="H680">
        <v>183390</v>
      </c>
    </row>
    <row r="681" spans="1:8">
      <c r="A681" t="s">
        <v>889</v>
      </c>
      <c r="B681" t="s">
        <v>890</v>
      </c>
      <c r="C681">
        <v>168</v>
      </c>
      <c r="D681">
        <v>56</v>
      </c>
      <c r="E681">
        <v>10</v>
      </c>
      <c r="F681">
        <v>1</v>
      </c>
      <c r="G681">
        <v>663</v>
      </c>
      <c r="H681">
        <v>185533</v>
      </c>
    </row>
    <row r="682" spans="1:8">
      <c r="A682" t="s">
        <v>889</v>
      </c>
      <c r="B682" t="s">
        <v>890</v>
      </c>
      <c r="C682">
        <v>169</v>
      </c>
      <c r="D682">
        <v>57</v>
      </c>
      <c r="E682">
        <v>10</v>
      </c>
      <c r="F682">
        <v>1</v>
      </c>
      <c r="G682">
        <v>854</v>
      </c>
      <c r="H682">
        <v>187998</v>
      </c>
    </row>
    <row r="683" spans="1:8">
      <c r="A683" t="s">
        <v>889</v>
      </c>
      <c r="B683" t="s">
        <v>890</v>
      </c>
      <c r="C683">
        <v>170</v>
      </c>
      <c r="D683">
        <v>57</v>
      </c>
      <c r="E683">
        <v>10</v>
      </c>
      <c r="F683">
        <v>1</v>
      </c>
      <c r="G683">
        <v>751</v>
      </c>
      <c r="H683">
        <v>188774</v>
      </c>
    </row>
    <row r="684" spans="1:8">
      <c r="A684" t="s">
        <v>894</v>
      </c>
      <c r="B684" t="s">
        <v>890</v>
      </c>
      <c r="C684">
        <v>171</v>
      </c>
      <c r="D684">
        <v>57</v>
      </c>
      <c r="E684">
        <v>10</v>
      </c>
      <c r="F684">
        <v>1</v>
      </c>
      <c r="G684">
        <v>1244</v>
      </c>
      <c r="H684">
        <v>190813</v>
      </c>
    </row>
    <row r="685" spans="1:8">
      <c r="A685" t="s">
        <v>889</v>
      </c>
      <c r="B685" t="s">
        <v>892</v>
      </c>
      <c r="C685">
        <v>172</v>
      </c>
      <c r="D685">
        <v>58</v>
      </c>
      <c r="E685">
        <v>10</v>
      </c>
      <c r="F685">
        <v>1</v>
      </c>
      <c r="G685">
        <v>410</v>
      </c>
      <c r="H685">
        <v>191934</v>
      </c>
    </row>
    <row r="686" spans="1:8">
      <c r="A686" t="s">
        <v>889</v>
      </c>
      <c r="B686" t="s">
        <v>892</v>
      </c>
      <c r="C686">
        <v>173</v>
      </c>
      <c r="D686">
        <v>58</v>
      </c>
      <c r="E686">
        <v>10</v>
      </c>
      <c r="F686">
        <v>1</v>
      </c>
      <c r="G686">
        <v>263</v>
      </c>
      <c r="H686">
        <v>192367</v>
      </c>
    </row>
    <row r="687" spans="1:8">
      <c r="A687" t="s">
        <v>889</v>
      </c>
      <c r="B687" t="s">
        <v>891</v>
      </c>
      <c r="C687">
        <v>174</v>
      </c>
      <c r="D687">
        <v>58</v>
      </c>
      <c r="E687">
        <v>10</v>
      </c>
      <c r="F687">
        <v>1</v>
      </c>
      <c r="G687">
        <v>291</v>
      </c>
      <c r="H687">
        <v>192938</v>
      </c>
    </row>
    <row r="688" spans="1:8">
      <c r="A688" t="s">
        <v>894</v>
      </c>
      <c r="B688" t="s">
        <v>891</v>
      </c>
      <c r="C688">
        <v>175</v>
      </c>
      <c r="D688">
        <v>59</v>
      </c>
      <c r="E688">
        <v>10</v>
      </c>
      <c r="F688">
        <v>1</v>
      </c>
      <c r="G688">
        <v>106</v>
      </c>
      <c r="H688">
        <v>194645</v>
      </c>
    </row>
    <row r="689" spans="1:8">
      <c r="A689" t="s">
        <v>889</v>
      </c>
      <c r="B689" t="s">
        <v>890</v>
      </c>
      <c r="C689">
        <v>176</v>
      </c>
      <c r="D689">
        <v>59</v>
      </c>
      <c r="E689">
        <v>10</v>
      </c>
      <c r="F689">
        <v>1</v>
      </c>
      <c r="G689">
        <v>663</v>
      </c>
      <c r="H689">
        <v>196043</v>
      </c>
    </row>
    <row r="690" spans="1:8">
      <c r="A690" t="s">
        <v>889</v>
      </c>
      <c r="B690" t="s">
        <v>891</v>
      </c>
      <c r="C690">
        <v>177</v>
      </c>
      <c r="D690">
        <v>59</v>
      </c>
      <c r="E690">
        <v>11</v>
      </c>
      <c r="F690">
        <v>1</v>
      </c>
      <c r="G690">
        <v>271</v>
      </c>
      <c r="H690">
        <v>196919</v>
      </c>
    </row>
    <row r="691" spans="1:8">
      <c r="A691" t="s">
        <v>889</v>
      </c>
      <c r="B691" t="s">
        <v>891</v>
      </c>
      <c r="C691">
        <v>178</v>
      </c>
      <c r="D691">
        <v>60</v>
      </c>
      <c r="E691">
        <v>11</v>
      </c>
      <c r="F691">
        <v>1</v>
      </c>
      <c r="G691">
        <v>106</v>
      </c>
      <c r="H691">
        <v>198201</v>
      </c>
    </row>
    <row r="692" spans="1:8">
      <c r="A692" t="s">
        <v>894</v>
      </c>
      <c r="B692" t="s">
        <v>891</v>
      </c>
      <c r="C692">
        <v>179</v>
      </c>
      <c r="D692">
        <v>60</v>
      </c>
      <c r="E692">
        <v>11</v>
      </c>
      <c r="F692">
        <v>1</v>
      </c>
      <c r="G692">
        <v>291</v>
      </c>
      <c r="H692">
        <v>198617</v>
      </c>
    </row>
    <row r="693" spans="1:8">
      <c r="A693" t="s">
        <v>889</v>
      </c>
      <c r="B693" t="s">
        <v>890</v>
      </c>
      <c r="C693">
        <v>180</v>
      </c>
      <c r="D693">
        <v>60</v>
      </c>
      <c r="E693">
        <v>11</v>
      </c>
      <c r="F693">
        <v>1</v>
      </c>
      <c r="G693">
        <v>796</v>
      </c>
      <c r="H693">
        <v>200088</v>
      </c>
    </row>
    <row r="694" spans="1:8">
      <c r="A694" t="s">
        <v>889</v>
      </c>
      <c r="B694" t="s">
        <v>892</v>
      </c>
      <c r="C694">
        <v>181</v>
      </c>
      <c r="D694">
        <v>61</v>
      </c>
      <c r="E694">
        <v>11</v>
      </c>
      <c r="F694">
        <v>1</v>
      </c>
      <c r="G694">
        <v>263</v>
      </c>
      <c r="H694">
        <v>201732</v>
      </c>
    </row>
    <row r="695" spans="1:8">
      <c r="A695" t="s">
        <v>893</v>
      </c>
      <c r="B695" t="s">
        <v>890</v>
      </c>
      <c r="C695">
        <v>182</v>
      </c>
      <c r="D695">
        <v>61</v>
      </c>
      <c r="E695">
        <v>11</v>
      </c>
      <c r="F695">
        <v>1</v>
      </c>
      <c r="G695">
        <v>784</v>
      </c>
      <c r="H695">
        <v>204416</v>
      </c>
    </row>
    <row r="696" spans="1:8">
      <c r="A696" t="s">
        <v>889</v>
      </c>
      <c r="B696" t="s">
        <v>890</v>
      </c>
      <c r="C696">
        <v>183</v>
      </c>
      <c r="D696">
        <v>61</v>
      </c>
      <c r="E696">
        <v>11</v>
      </c>
      <c r="F696">
        <v>1</v>
      </c>
      <c r="G696">
        <v>911</v>
      </c>
      <c r="H696">
        <v>205432</v>
      </c>
    </row>
    <row r="697" spans="1:8">
      <c r="A697" t="s">
        <v>894</v>
      </c>
      <c r="B697" t="s">
        <v>890</v>
      </c>
      <c r="C697">
        <v>184</v>
      </c>
      <c r="D697">
        <v>62</v>
      </c>
      <c r="E697">
        <v>11</v>
      </c>
      <c r="F697">
        <v>1</v>
      </c>
      <c r="G697">
        <v>959</v>
      </c>
      <c r="H697">
        <v>207742</v>
      </c>
    </row>
    <row r="698" spans="1:8">
      <c r="A698" t="s">
        <v>889</v>
      </c>
      <c r="B698" t="s">
        <v>890</v>
      </c>
      <c r="C698">
        <v>185</v>
      </c>
      <c r="D698">
        <v>62</v>
      </c>
      <c r="E698">
        <v>11</v>
      </c>
      <c r="F698">
        <v>1</v>
      </c>
      <c r="G698">
        <v>867</v>
      </c>
      <c r="H698">
        <v>209164</v>
      </c>
    </row>
    <row r="699" spans="1:8">
      <c r="A699" t="s">
        <v>889</v>
      </c>
      <c r="B699" t="s">
        <v>890</v>
      </c>
      <c r="C699">
        <v>186</v>
      </c>
      <c r="D699">
        <v>62</v>
      </c>
      <c r="E699">
        <v>11</v>
      </c>
      <c r="F699">
        <v>1</v>
      </c>
      <c r="G699">
        <v>1085</v>
      </c>
      <c r="H699">
        <v>210764</v>
      </c>
    </row>
    <row r="700" spans="1:8">
      <c r="A700" t="s">
        <v>894</v>
      </c>
      <c r="B700" t="s">
        <v>890</v>
      </c>
      <c r="C700">
        <v>187</v>
      </c>
      <c r="D700">
        <v>63</v>
      </c>
      <c r="E700">
        <v>11</v>
      </c>
      <c r="F700">
        <v>1</v>
      </c>
      <c r="G700">
        <v>1133</v>
      </c>
      <c r="H700">
        <v>213413</v>
      </c>
    </row>
    <row r="701" spans="1:8">
      <c r="A701" t="s">
        <v>889</v>
      </c>
      <c r="B701" t="s">
        <v>892</v>
      </c>
      <c r="C701">
        <v>188</v>
      </c>
      <c r="D701">
        <v>63</v>
      </c>
      <c r="E701">
        <v>11</v>
      </c>
      <c r="F701">
        <v>1</v>
      </c>
      <c r="G701">
        <v>238</v>
      </c>
      <c r="H701">
        <v>213656</v>
      </c>
    </row>
    <row r="702" spans="1:8">
      <c r="A702" t="s">
        <v>893</v>
      </c>
      <c r="B702" t="s">
        <v>890</v>
      </c>
      <c r="C702">
        <v>189</v>
      </c>
      <c r="D702">
        <v>63</v>
      </c>
      <c r="E702">
        <v>11</v>
      </c>
      <c r="F702">
        <v>1</v>
      </c>
      <c r="G702">
        <v>1380</v>
      </c>
      <c r="H702">
        <v>215481</v>
      </c>
    </row>
    <row r="703" spans="1:8">
      <c r="A703" t="s">
        <v>889</v>
      </c>
      <c r="B703" t="s">
        <v>890</v>
      </c>
      <c r="C703">
        <v>190</v>
      </c>
      <c r="D703">
        <v>64</v>
      </c>
      <c r="E703">
        <v>11</v>
      </c>
      <c r="F703">
        <v>1</v>
      </c>
      <c r="G703">
        <v>1313</v>
      </c>
      <c r="H703">
        <v>217285</v>
      </c>
    </row>
    <row r="704" spans="1:8">
      <c r="A704" t="s">
        <v>889</v>
      </c>
      <c r="B704" t="s">
        <v>891</v>
      </c>
      <c r="C704">
        <v>191</v>
      </c>
      <c r="D704">
        <v>64</v>
      </c>
      <c r="E704">
        <v>11</v>
      </c>
      <c r="F704">
        <v>1</v>
      </c>
      <c r="G704">
        <v>131</v>
      </c>
      <c r="H704">
        <v>217301</v>
      </c>
    </row>
    <row r="705" spans="1:8">
      <c r="A705" t="s">
        <v>894</v>
      </c>
      <c r="B705" t="s">
        <v>890</v>
      </c>
      <c r="C705">
        <v>192</v>
      </c>
      <c r="D705">
        <v>64</v>
      </c>
      <c r="E705">
        <v>11</v>
      </c>
      <c r="F705">
        <v>1</v>
      </c>
      <c r="G705">
        <v>1196</v>
      </c>
      <c r="H705">
        <v>219597</v>
      </c>
    </row>
    <row r="706" spans="1:8">
      <c r="A706" t="s">
        <v>889</v>
      </c>
      <c r="B706" t="s">
        <v>890</v>
      </c>
      <c r="C706">
        <v>193</v>
      </c>
      <c r="D706">
        <v>65</v>
      </c>
      <c r="E706">
        <v>11</v>
      </c>
      <c r="F706">
        <v>1</v>
      </c>
      <c r="G706">
        <v>854</v>
      </c>
      <c r="H706">
        <v>220677</v>
      </c>
    </row>
    <row r="707" spans="1:8">
      <c r="A707" t="s">
        <v>889</v>
      </c>
      <c r="B707" t="s">
        <v>892</v>
      </c>
      <c r="C707">
        <v>194</v>
      </c>
      <c r="D707">
        <v>65</v>
      </c>
      <c r="E707">
        <v>11</v>
      </c>
      <c r="F707">
        <v>1</v>
      </c>
      <c r="G707">
        <v>276</v>
      </c>
      <c r="H707">
        <v>221028</v>
      </c>
    </row>
    <row r="708" spans="1:8">
      <c r="A708" t="s">
        <v>893</v>
      </c>
      <c r="B708" t="s">
        <v>890</v>
      </c>
      <c r="C708">
        <v>195</v>
      </c>
      <c r="D708">
        <v>65</v>
      </c>
      <c r="E708">
        <v>11</v>
      </c>
      <c r="F708">
        <v>1</v>
      </c>
      <c r="G708">
        <v>2011</v>
      </c>
      <c r="H708">
        <v>224274</v>
      </c>
    </row>
    <row r="709" spans="1:8">
      <c r="A709" t="s">
        <v>889</v>
      </c>
      <c r="B709" t="s">
        <v>890</v>
      </c>
      <c r="C709">
        <v>196</v>
      </c>
      <c r="D709">
        <v>66</v>
      </c>
      <c r="E709">
        <v>11</v>
      </c>
      <c r="F709">
        <v>1</v>
      </c>
      <c r="G709">
        <v>969</v>
      </c>
      <c r="H709">
        <v>227004</v>
      </c>
    </row>
    <row r="710" spans="1:8">
      <c r="A710" t="s">
        <v>894</v>
      </c>
      <c r="B710" t="s">
        <v>890</v>
      </c>
      <c r="C710">
        <v>197</v>
      </c>
      <c r="D710">
        <v>66</v>
      </c>
      <c r="E710">
        <v>11</v>
      </c>
      <c r="F710">
        <v>1</v>
      </c>
      <c r="G710">
        <v>3214</v>
      </c>
      <c r="H710">
        <v>230448</v>
      </c>
    </row>
    <row r="711" spans="1:8">
      <c r="A711" t="s">
        <v>889</v>
      </c>
      <c r="B711" t="s">
        <v>890</v>
      </c>
      <c r="C711">
        <v>198</v>
      </c>
      <c r="D711">
        <v>66</v>
      </c>
      <c r="E711">
        <v>11</v>
      </c>
      <c r="F711">
        <v>1</v>
      </c>
      <c r="G711">
        <v>925</v>
      </c>
      <c r="H711">
        <v>235178</v>
      </c>
    </row>
    <row r="712" spans="1:8">
      <c r="A712" t="s">
        <v>895</v>
      </c>
      <c r="B712" t="s">
        <v>890</v>
      </c>
      <c r="C712">
        <v>199</v>
      </c>
      <c r="D712">
        <v>67</v>
      </c>
      <c r="E712">
        <v>12</v>
      </c>
      <c r="F712">
        <v>1</v>
      </c>
      <c r="G712">
        <v>1743</v>
      </c>
      <c r="H712">
        <v>238142</v>
      </c>
    </row>
    <row r="713" spans="1:8">
      <c r="A713" t="s">
        <v>895</v>
      </c>
      <c r="B713" t="s">
        <v>890</v>
      </c>
      <c r="C713">
        <v>200</v>
      </c>
      <c r="D713">
        <v>67</v>
      </c>
      <c r="E713">
        <v>12</v>
      </c>
      <c r="F713">
        <v>1</v>
      </c>
      <c r="G713">
        <v>5240</v>
      </c>
      <c r="H713">
        <v>245997</v>
      </c>
    </row>
    <row r="714" spans="1:8">
      <c r="A714" t="s">
        <v>889</v>
      </c>
      <c r="B714" t="s">
        <v>890</v>
      </c>
      <c r="C714">
        <v>201</v>
      </c>
      <c r="D714">
        <v>67</v>
      </c>
      <c r="E714">
        <v>12</v>
      </c>
      <c r="F714">
        <v>1</v>
      </c>
      <c r="G714">
        <v>1258</v>
      </c>
      <c r="H714">
        <v>247440</v>
      </c>
    </row>
    <row r="715" spans="1:8">
      <c r="A715" t="s">
        <v>889</v>
      </c>
      <c r="B715" t="s">
        <v>890</v>
      </c>
      <c r="C715">
        <v>202</v>
      </c>
      <c r="D715">
        <v>68</v>
      </c>
      <c r="E715">
        <v>12</v>
      </c>
      <c r="F715">
        <v>1</v>
      </c>
      <c r="G715">
        <v>1156</v>
      </c>
      <c r="H715">
        <v>250347</v>
      </c>
    </row>
    <row r="716" spans="1:8">
      <c r="A716" t="s">
        <v>894</v>
      </c>
      <c r="B716" t="s">
        <v>890</v>
      </c>
      <c r="C716">
        <v>203</v>
      </c>
      <c r="D716">
        <v>68</v>
      </c>
      <c r="E716">
        <v>12</v>
      </c>
      <c r="F716">
        <v>1</v>
      </c>
      <c r="G716">
        <v>1524</v>
      </c>
      <c r="H716">
        <v>252156</v>
      </c>
    </row>
    <row r="717" spans="1:8">
      <c r="A717" t="s">
        <v>889</v>
      </c>
      <c r="B717" t="s">
        <v>890</v>
      </c>
      <c r="C717">
        <v>204</v>
      </c>
      <c r="D717">
        <v>68</v>
      </c>
      <c r="E717">
        <v>12</v>
      </c>
      <c r="F717">
        <v>1</v>
      </c>
      <c r="G717">
        <v>1374</v>
      </c>
      <c r="H717">
        <v>254295</v>
      </c>
    </row>
    <row r="718" spans="1:8">
      <c r="A718" t="s">
        <v>889</v>
      </c>
      <c r="B718" t="s">
        <v>891</v>
      </c>
      <c r="C718">
        <v>205</v>
      </c>
      <c r="D718">
        <v>69</v>
      </c>
      <c r="E718">
        <v>12</v>
      </c>
      <c r="F718">
        <v>1</v>
      </c>
      <c r="G718">
        <v>106</v>
      </c>
      <c r="H718">
        <v>255647</v>
      </c>
    </row>
    <row r="719" spans="1:8">
      <c r="A719" t="s">
        <v>893</v>
      </c>
      <c r="B719" t="s">
        <v>890</v>
      </c>
      <c r="C719">
        <v>206</v>
      </c>
      <c r="D719">
        <v>69</v>
      </c>
      <c r="E719">
        <v>12</v>
      </c>
      <c r="F719">
        <v>1</v>
      </c>
      <c r="G719">
        <v>726</v>
      </c>
      <c r="H719">
        <v>256788</v>
      </c>
    </row>
    <row r="720" spans="1:8">
      <c r="A720" t="s">
        <v>889</v>
      </c>
      <c r="B720" t="s">
        <v>890</v>
      </c>
      <c r="C720">
        <v>207</v>
      </c>
      <c r="D720">
        <v>69</v>
      </c>
      <c r="E720">
        <v>12</v>
      </c>
      <c r="F720">
        <v>1</v>
      </c>
      <c r="G720">
        <v>888</v>
      </c>
      <c r="H720">
        <v>258351</v>
      </c>
    </row>
    <row r="721" spans="1:8">
      <c r="A721" t="s">
        <v>894</v>
      </c>
      <c r="B721" t="s">
        <v>892</v>
      </c>
      <c r="C721">
        <v>208</v>
      </c>
      <c r="D721">
        <v>70</v>
      </c>
      <c r="E721">
        <v>12</v>
      </c>
      <c r="F721">
        <v>1</v>
      </c>
      <c r="G721">
        <v>436</v>
      </c>
      <c r="H721">
        <v>260238</v>
      </c>
    </row>
    <row r="722" spans="1:8">
      <c r="A722" t="s">
        <v>889</v>
      </c>
      <c r="B722" t="s">
        <v>890</v>
      </c>
      <c r="C722">
        <v>209</v>
      </c>
      <c r="D722">
        <v>70</v>
      </c>
      <c r="E722">
        <v>12</v>
      </c>
      <c r="F722">
        <v>1</v>
      </c>
      <c r="G722">
        <v>784</v>
      </c>
      <c r="H722">
        <v>262632</v>
      </c>
    </row>
    <row r="723" spans="1:8">
      <c r="A723" t="s">
        <v>889</v>
      </c>
      <c r="B723" t="s">
        <v>890</v>
      </c>
      <c r="C723">
        <v>210</v>
      </c>
      <c r="D723">
        <v>70</v>
      </c>
      <c r="E723">
        <v>12</v>
      </c>
      <c r="F723">
        <v>1</v>
      </c>
      <c r="G723">
        <v>969</v>
      </c>
      <c r="H723">
        <v>265221</v>
      </c>
    </row>
    <row r="724" spans="1:8">
      <c r="A724" t="s">
        <v>894</v>
      </c>
      <c r="B724" t="s">
        <v>892</v>
      </c>
      <c r="C724">
        <v>211</v>
      </c>
      <c r="D724">
        <v>71</v>
      </c>
      <c r="E724">
        <v>12</v>
      </c>
      <c r="F724">
        <v>1</v>
      </c>
      <c r="G724">
        <v>263</v>
      </c>
      <c r="H724">
        <v>266450</v>
      </c>
    </row>
    <row r="725" spans="1:8">
      <c r="A725" t="s">
        <v>889</v>
      </c>
      <c r="B725" t="s">
        <v>890</v>
      </c>
      <c r="C725">
        <v>212</v>
      </c>
      <c r="D725">
        <v>71</v>
      </c>
      <c r="E725">
        <v>12</v>
      </c>
      <c r="F725">
        <v>1</v>
      </c>
      <c r="G725">
        <v>905</v>
      </c>
      <c r="H725">
        <v>267825</v>
      </c>
    </row>
    <row r="726" spans="1:8">
      <c r="A726" t="s">
        <v>893</v>
      </c>
      <c r="B726" t="s">
        <v>890</v>
      </c>
      <c r="C726">
        <v>213</v>
      </c>
      <c r="D726">
        <v>71</v>
      </c>
      <c r="E726">
        <v>12</v>
      </c>
      <c r="F726">
        <v>1</v>
      </c>
      <c r="G726">
        <v>1105</v>
      </c>
      <c r="H726">
        <v>269060</v>
      </c>
    </row>
    <row r="727" spans="1:8">
      <c r="A727" t="s">
        <v>889</v>
      </c>
      <c r="B727" t="s">
        <v>892</v>
      </c>
      <c r="C727">
        <v>214</v>
      </c>
      <c r="D727">
        <v>72</v>
      </c>
      <c r="E727">
        <v>12</v>
      </c>
      <c r="F727">
        <v>1</v>
      </c>
      <c r="G727">
        <v>398</v>
      </c>
      <c r="H727">
        <v>270494</v>
      </c>
    </row>
    <row r="728" spans="1:8">
      <c r="A728" t="s">
        <v>889</v>
      </c>
      <c r="B728" t="s">
        <v>890</v>
      </c>
      <c r="C728">
        <v>215</v>
      </c>
      <c r="D728">
        <v>72</v>
      </c>
      <c r="E728">
        <v>12</v>
      </c>
      <c r="F728">
        <v>1</v>
      </c>
      <c r="G728">
        <v>983</v>
      </c>
      <c r="H728">
        <v>271942</v>
      </c>
    </row>
    <row r="729" spans="1:8">
      <c r="A729" t="s">
        <v>894</v>
      </c>
      <c r="B729" t="s">
        <v>891</v>
      </c>
      <c r="C729">
        <v>216</v>
      </c>
      <c r="D729">
        <v>72</v>
      </c>
      <c r="E729">
        <v>12</v>
      </c>
      <c r="F729">
        <v>1</v>
      </c>
      <c r="G729">
        <v>238</v>
      </c>
      <c r="H729">
        <v>272235</v>
      </c>
    </row>
    <row r="730" spans="1:8">
      <c r="A730" t="s">
        <v>889</v>
      </c>
      <c r="B730" t="s">
        <v>890</v>
      </c>
      <c r="C730">
        <v>217</v>
      </c>
      <c r="D730">
        <v>73</v>
      </c>
      <c r="E730">
        <v>12</v>
      </c>
      <c r="F730">
        <v>1</v>
      </c>
      <c r="G730">
        <v>828</v>
      </c>
      <c r="H730">
        <v>273759</v>
      </c>
    </row>
    <row r="731" spans="1:8">
      <c r="A731" t="s">
        <v>889</v>
      </c>
      <c r="B731" t="s">
        <v>890</v>
      </c>
      <c r="C731">
        <v>218</v>
      </c>
      <c r="D731">
        <v>73</v>
      </c>
      <c r="E731">
        <v>12</v>
      </c>
      <c r="F731">
        <v>1</v>
      </c>
      <c r="G731">
        <v>694</v>
      </c>
      <c r="H731">
        <v>274468</v>
      </c>
    </row>
    <row r="732" spans="1:8">
      <c r="A732" t="s">
        <v>893</v>
      </c>
      <c r="B732" t="s">
        <v>890</v>
      </c>
      <c r="C732">
        <v>219</v>
      </c>
      <c r="D732">
        <v>73</v>
      </c>
      <c r="E732">
        <v>12</v>
      </c>
      <c r="F732">
        <v>1</v>
      </c>
      <c r="G732">
        <v>2049</v>
      </c>
      <c r="H732">
        <v>279167</v>
      </c>
    </row>
    <row r="733" spans="1:8">
      <c r="A733" t="s">
        <v>889</v>
      </c>
      <c r="B733" t="s">
        <v>890</v>
      </c>
      <c r="C733">
        <v>220</v>
      </c>
      <c r="D733">
        <v>74</v>
      </c>
      <c r="E733">
        <v>12</v>
      </c>
      <c r="F733">
        <v>1</v>
      </c>
      <c r="G733">
        <v>969</v>
      </c>
      <c r="H733">
        <v>282397</v>
      </c>
    </row>
    <row r="734" spans="1:8">
      <c r="A734" t="s">
        <v>889</v>
      </c>
      <c r="B734" t="s">
        <v>890</v>
      </c>
      <c r="C734">
        <v>221</v>
      </c>
      <c r="D734">
        <v>74</v>
      </c>
      <c r="E734">
        <v>12</v>
      </c>
      <c r="F734">
        <v>1</v>
      </c>
      <c r="G734">
        <v>910</v>
      </c>
      <c r="H734">
        <v>286992</v>
      </c>
    </row>
    <row r="735" spans="1:8">
      <c r="A735" t="s">
        <v>895</v>
      </c>
      <c r="B735" t="s">
        <v>891</v>
      </c>
      <c r="C735">
        <v>222</v>
      </c>
      <c r="D735">
        <v>74</v>
      </c>
      <c r="E735">
        <v>13</v>
      </c>
      <c r="F735">
        <v>1</v>
      </c>
      <c r="G735">
        <v>266</v>
      </c>
      <c r="H735">
        <v>287453</v>
      </c>
    </row>
    <row r="736" spans="1:8">
      <c r="A736" t="s">
        <v>889</v>
      </c>
      <c r="B736" t="s">
        <v>891</v>
      </c>
      <c r="C736">
        <v>223</v>
      </c>
      <c r="D736">
        <v>75</v>
      </c>
      <c r="E736">
        <v>13</v>
      </c>
      <c r="F736">
        <v>1</v>
      </c>
      <c r="G736">
        <v>298</v>
      </c>
      <c r="H736">
        <v>288942</v>
      </c>
    </row>
    <row r="737" spans="1:8">
      <c r="A737" t="s">
        <v>889</v>
      </c>
      <c r="B737" t="s">
        <v>891</v>
      </c>
      <c r="C737">
        <v>224</v>
      </c>
      <c r="D737">
        <v>75</v>
      </c>
      <c r="E737">
        <v>13</v>
      </c>
      <c r="F737">
        <v>1</v>
      </c>
      <c r="G737">
        <v>111</v>
      </c>
      <c r="H737">
        <v>288938</v>
      </c>
    </row>
    <row r="738" spans="1:8">
      <c r="A738" t="s">
        <v>894</v>
      </c>
      <c r="B738" t="s">
        <v>890</v>
      </c>
      <c r="C738">
        <v>225</v>
      </c>
      <c r="D738">
        <v>75</v>
      </c>
      <c r="E738">
        <v>13</v>
      </c>
      <c r="F738">
        <v>1</v>
      </c>
      <c r="G738">
        <v>946</v>
      </c>
      <c r="H738">
        <v>290629</v>
      </c>
    </row>
    <row r="739" spans="1:8">
      <c r="A739" t="s">
        <v>889</v>
      </c>
      <c r="B739" t="s">
        <v>890</v>
      </c>
      <c r="C739">
        <v>226</v>
      </c>
      <c r="D739">
        <v>76</v>
      </c>
      <c r="E739">
        <v>13</v>
      </c>
      <c r="F739">
        <v>1</v>
      </c>
      <c r="G739">
        <v>884</v>
      </c>
      <c r="H739">
        <v>292924</v>
      </c>
    </row>
    <row r="740" spans="1:8">
      <c r="A740" t="s">
        <v>889</v>
      </c>
      <c r="B740" t="s">
        <v>890</v>
      </c>
      <c r="C740">
        <v>227</v>
      </c>
      <c r="D740">
        <v>76</v>
      </c>
      <c r="E740">
        <v>13</v>
      </c>
      <c r="F740">
        <v>1</v>
      </c>
      <c r="G740">
        <v>751</v>
      </c>
      <c r="H740">
        <v>293750</v>
      </c>
    </row>
    <row r="741" spans="1:8">
      <c r="A741" t="s">
        <v>893</v>
      </c>
      <c r="B741" t="s">
        <v>891</v>
      </c>
      <c r="C741">
        <v>228</v>
      </c>
      <c r="D741">
        <v>76</v>
      </c>
      <c r="E741">
        <v>13</v>
      </c>
      <c r="F741">
        <v>1</v>
      </c>
      <c r="G741">
        <v>106</v>
      </c>
      <c r="H741">
        <v>294091</v>
      </c>
    </row>
    <row r="742" spans="1:8">
      <c r="A742" t="s">
        <v>889</v>
      </c>
      <c r="B742" t="s">
        <v>890</v>
      </c>
      <c r="C742">
        <v>229</v>
      </c>
      <c r="D742">
        <v>77</v>
      </c>
      <c r="E742">
        <v>13</v>
      </c>
      <c r="F742">
        <v>1</v>
      </c>
      <c r="G742">
        <v>856</v>
      </c>
      <c r="H742">
        <v>296818</v>
      </c>
    </row>
    <row r="743" spans="1:8">
      <c r="A743" t="s">
        <v>894</v>
      </c>
      <c r="B743" t="s">
        <v>892</v>
      </c>
      <c r="C743">
        <v>230</v>
      </c>
      <c r="D743">
        <v>77</v>
      </c>
      <c r="E743">
        <v>13</v>
      </c>
      <c r="F743">
        <v>1</v>
      </c>
      <c r="G743">
        <v>263</v>
      </c>
      <c r="H743">
        <v>297426</v>
      </c>
    </row>
    <row r="744" spans="1:8">
      <c r="A744" t="s">
        <v>889</v>
      </c>
      <c r="B744" t="s">
        <v>891</v>
      </c>
      <c r="C744">
        <v>231</v>
      </c>
      <c r="D744">
        <v>77</v>
      </c>
      <c r="E744">
        <v>13</v>
      </c>
      <c r="F744">
        <v>1</v>
      </c>
      <c r="G744">
        <v>131</v>
      </c>
      <c r="H744">
        <v>297542</v>
      </c>
    </row>
    <row r="745" spans="1:8">
      <c r="A745" t="s">
        <v>889</v>
      </c>
      <c r="B745" t="s">
        <v>892</v>
      </c>
      <c r="C745">
        <v>232</v>
      </c>
      <c r="D745">
        <v>78</v>
      </c>
      <c r="E745">
        <v>13</v>
      </c>
      <c r="F745">
        <v>1</v>
      </c>
      <c r="G745">
        <v>423</v>
      </c>
      <c r="H745">
        <v>298966</v>
      </c>
    </row>
    <row r="746" spans="1:8">
      <c r="A746" t="s">
        <v>894</v>
      </c>
      <c r="B746" t="s">
        <v>891</v>
      </c>
      <c r="C746">
        <v>233</v>
      </c>
      <c r="D746">
        <v>78</v>
      </c>
      <c r="E746">
        <v>13</v>
      </c>
      <c r="F746">
        <v>1</v>
      </c>
      <c r="G746">
        <v>131</v>
      </c>
      <c r="H746">
        <v>299122</v>
      </c>
    </row>
    <row r="747" spans="1:8">
      <c r="A747" t="s">
        <v>889</v>
      </c>
      <c r="B747" t="s">
        <v>892</v>
      </c>
      <c r="C747">
        <v>234</v>
      </c>
      <c r="D747">
        <v>78</v>
      </c>
      <c r="E747">
        <v>13</v>
      </c>
      <c r="F747">
        <v>1</v>
      </c>
      <c r="G747">
        <v>238</v>
      </c>
      <c r="H747">
        <v>299350</v>
      </c>
    </row>
    <row r="748" spans="1:8">
      <c r="A748" t="s">
        <v>889</v>
      </c>
      <c r="B748" t="s">
        <v>892</v>
      </c>
      <c r="C748">
        <v>235</v>
      </c>
      <c r="D748">
        <v>79</v>
      </c>
      <c r="E748">
        <v>13</v>
      </c>
      <c r="F748">
        <v>1</v>
      </c>
      <c r="G748">
        <v>398</v>
      </c>
      <c r="H748">
        <v>300484</v>
      </c>
    </row>
    <row r="749" spans="1:8">
      <c r="A749" t="s">
        <v>889</v>
      </c>
      <c r="B749" t="s">
        <v>890</v>
      </c>
      <c r="C749">
        <v>236</v>
      </c>
      <c r="D749">
        <v>79</v>
      </c>
      <c r="E749">
        <v>13</v>
      </c>
      <c r="F749">
        <v>1</v>
      </c>
      <c r="G749">
        <v>668</v>
      </c>
      <c r="H749">
        <v>301037</v>
      </c>
    </row>
    <row r="750" spans="1:8">
      <c r="A750" t="s">
        <v>894</v>
      </c>
      <c r="B750" t="s">
        <v>891</v>
      </c>
      <c r="C750">
        <v>237</v>
      </c>
      <c r="D750">
        <v>79</v>
      </c>
      <c r="E750">
        <v>13</v>
      </c>
      <c r="F750">
        <v>1</v>
      </c>
      <c r="G750">
        <v>131</v>
      </c>
      <c r="H750">
        <v>301218</v>
      </c>
    </row>
    <row r="751" spans="1:8">
      <c r="A751" t="s">
        <v>889</v>
      </c>
      <c r="B751" t="s">
        <v>891</v>
      </c>
      <c r="C751">
        <v>238</v>
      </c>
      <c r="D751">
        <v>80</v>
      </c>
      <c r="E751">
        <v>13</v>
      </c>
      <c r="F751">
        <v>1</v>
      </c>
      <c r="G751">
        <v>266</v>
      </c>
      <c r="H751">
        <v>301290</v>
      </c>
    </row>
    <row r="752" spans="1:8">
      <c r="A752" t="s">
        <v>889</v>
      </c>
      <c r="B752" t="s">
        <v>892</v>
      </c>
      <c r="C752">
        <v>239</v>
      </c>
      <c r="D752">
        <v>80</v>
      </c>
      <c r="E752">
        <v>13</v>
      </c>
      <c r="F752">
        <v>1</v>
      </c>
      <c r="G752">
        <v>263</v>
      </c>
      <c r="H752">
        <v>301463</v>
      </c>
    </row>
    <row r="753" spans="1:8">
      <c r="A753" t="s">
        <v>889</v>
      </c>
      <c r="B753" t="s">
        <v>892</v>
      </c>
      <c r="C753">
        <v>240</v>
      </c>
      <c r="D753">
        <v>80</v>
      </c>
      <c r="E753">
        <v>13</v>
      </c>
      <c r="F753">
        <v>1</v>
      </c>
      <c r="G753">
        <v>436</v>
      </c>
      <c r="H753">
        <v>302074</v>
      </c>
    </row>
    <row r="754" spans="1:8">
      <c r="A754" t="s">
        <v>889</v>
      </c>
      <c r="B754" t="s">
        <v>890</v>
      </c>
      <c r="C754">
        <v>241</v>
      </c>
      <c r="D754">
        <v>81</v>
      </c>
      <c r="E754">
        <v>13</v>
      </c>
      <c r="F754">
        <v>1</v>
      </c>
      <c r="G754">
        <v>668</v>
      </c>
      <c r="H754">
        <v>303823</v>
      </c>
    </row>
    <row r="755" spans="1:8">
      <c r="A755" t="s">
        <v>889</v>
      </c>
      <c r="B755" t="s">
        <v>892</v>
      </c>
      <c r="C755">
        <v>242</v>
      </c>
      <c r="D755">
        <v>81</v>
      </c>
      <c r="E755">
        <v>14</v>
      </c>
      <c r="F755">
        <v>1</v>
      </c>
      <c r="G755">
        <v>423</v>
      </c>
      <c r="H755">
        <v>304466</v>
      </c>
    </row>
    <row r="756" spans="1:8">
      <c r="A756" t="s">
        <v>889</v>
      </c>
      <c r="B756" t="s">
        <v>892</v>
      </c>
      <c r="C756">
        <v>243</v>
      </c>
      <c r="D756">
        <v>81</v>
      </c>
      <c r="E756">
        <v>14</v>
      </c>
      <c r="F756">
        <v>1</v>
      </c>
      <c r="G756">
        <v>238</v>
      </c>
      <c r="H756">
        <v>304589</v>
      </c>
    </row>
    <row r="757" spans="1:8">
      <c r="A757" t="s">
        <v>894</v>
      </c>
      <c r="B757" t="s">
        <v>891</v>
      </c>
      <c r="C757">
        <v>244</v>
      </c>
      <c r="D757">
        <v>82</v>
      </c>
      <c r="E757">
        <v>14</v>
      </c>
      <c r="F757">
        <v>1</v>
      </c>
      <c r="G757">
        <v>298</v>
      </c>
      <c r="H757">
        <v>305903</v>
      </c>
    </row>
    <row r="758" spans="1:8">
      <c r="A758" t="s">
        <v>889</v>
      </c>
      <c r="B758" t="s">
        <v>892</v>
      </c>
      <c r="C758">
        <v>245</v>
      </c>
      <c r="D758">
        <v>82</v>
      </c>
      <c r="E758">
        <v>14</v>
      </c>
      <c r="F758">
        <v>1</v>
      </c>
      <c r="G758">
        <v>423</v>
      </c>
      <c r="H758">
        <v>306501</v>
      </c>
    </row>
    <row r="759" spans="1:8">
      <c r="A759" t="s">
        <v>889</v>
      </c>
      <c r="B759" t="s">
        <v>890</v>
      </c>
      <c r="C759">
        <v>246</v>
      </c>
      <c r="D759">
        <v>82</v>
      </c>
      <c r="E759">
        <v>14</v>
      </c>
      <c r="F759">
        <v>1</v>
      </c>
      <c r="G759">
        <v>663</v>
      </c>
      <c r="H759">
        <v>307694</v>
      </c>
    </row>
    <row r="760" spans="1:8">
      <c r="A760" t="s">
        <v>893</v>
      </c>
      <c r="B760" t="s">
        <v>890</v>
      </c>
      <c r="C760">
        <v>247</v>
      </c>
      <c r="D760">
        <v>83</v>
      </c>
      <c r="E760">
        <v>14</v>
      </c>
      <c r="F760">
        <v>1</v>
      </c>
      <c r="G760">
        <v>818</v>
      </c>
      <c r="H760">
        <v>310198</v>
      </c>
    </row>
    <row r="761" spans="1:8">
      <c r="A761" t="s">
        <v>889</v>
      </c>
      <c r="B761" t="s">
        <v>890</v>
      </c>
      <c r="C761">
        <v>248</v>
      </c>
      <c r="D761">
        <v>83</v>
      </c>
      <c r="E761">
        <v>14</v>
      </c>
      <c r="F761">
        <v>1</v>
      </c>
      <c r="G761">
        <v>911</v>
      </c>
      <c r="H761">
        <v>311704</v>
      </c>
    </row>
    <row r="762" spans="1:8">
      <c r="A762" t="s">
        <v>894</v>
      </c>
      <c r="B762" t="s">
        <v>890</v>
      </c>
      <c r="C762">
        <v>249</v>
      </c>
      <c r="D762">
        <v>83</v>
      </c>
      <c r="E762">
        <v>14</v>
      </c>
      <c r="F762">
        <v>1</v>
      </c>
      <c r="G762">
        <v>994</v>
      </c>
      <c r="H762">
        <v>312723</v>
      </c>
    </row>
    <row r="763" spans="1:8">
      <c r="A763" t="s">
        <v>889</v>
      </c>
      <c r="B763" t="s">
        <v>891</v>
      </c>
      <c r="C763">
        <v>250</v>
      </c>
      <c r="D763">
        <v>84</v>
      </c>
      <c r="E763">
        <v>14</v>
      </c>
      <c r="F763">
        <v>1</v>
      </c>
      <c r="G763">
        <v>111</v>
      </c>
      <c r="H763">
        <v>313860</v>
      </c>
    </row>
    <row r="764" spans="1:8">
      <c r="A764" t="s">
        <v>889</v>
      </c>
      <c r="B764" t="s">
        <v>890</v>
      </c>
      <c r="C764">
        <v>251</v>
      </c>
      <c r="D764">
        <v>84</v>
      </c>
      <c r="E764">
        <v>14</v>
      </c>
      <c r="F764">
        <v>1</v>
      </c>
      <c r="G764">
        <v>823</v>
      </c>
      <c r="H764">
        <v>315328</v>
      </c>
    </row>
    <row r="765" spans="1:8">
      <c r="A765" t="s">
        <v>894</v>
      </c>
      <c r="B765" t="s">
        <v>890</v>
      </c>
      <c r="C765">
        <v>252</v>
      </c>
      <c r="D765">
        <v>84</v>
      </c>
      <c r="E765">
        <v>14</v>
      </c>
      <c r="F765">
        <v>1</v>
      </c>
      <c r="G765">
        <v>874</v>
      </c>
      <c r="H765">
        <v>316227</v>
      </c>
    </row>
    <row r="766" spans="1:8">
      <c r="A766" t="s">
        <v>889</v>
      </c>
      <c r="B766" t="s">
        <v>890</v>
      </c>
      <c r="C766">
        <v>253</v>
      </c>
      <c r="D766">
        <v>85</v>
      </c>
      <c r="E766">
        <v>14</v>
      </c>
      <c r="F766">
        <v>1</v>
      </c>
      <c r="G766">
        <v>751</v>
      </c>
      <c r="H766">
        <v>317869</v>
      </c>
    </row>
    <row r="767" spans="1:8">
      <c r="A767" t="s">
        <v>893</v>
      </c>
      <c r="B767" t="s">
        <v>890</v>
      </c>
      <c r="C767">
        <v>254</v>
      </c>
      <c r="D767">
        <v>85</v>
      </c>
      <c r="E767">
        <v>14</v>
      </c>
      <c r="F767">
        <v>1</v>
      </c>
      <c r="G767">
        <v>989</v>
      </c>
      <c r="H767">
        <v>319053</v>
      </c>
    </row>
    <row r="768" spans="1:8">
      <c r="A768" t="s">
        <v>889</v>
      </c>
      <c r="B768" t="s">
        <v>890</v>
      </c>
      <c r="C768">
        <v>255</v>
      </c>
      <c r="D768">
        <v>85</v>
      </c>
      <c r="E768">
        <v>14</v>
      </c>
      <c r="F768">
        <v>1</v>
      </c>
      <c r="G768">
        <v>1027</v>
      </c>
      <c r="H768">
        <v>319175</v>
      </c>
    </row>
    <row r="769" spans="1:8">
      <c r="A769" t="s">
        <v>889</v>
      </c>
      <c r="B769" t="s">
        <v>892</v>
      </c>
      <c r="C769">
        <v>256</v>
      </c>
      <c r="D769">
        <v>86</v>
      </c>
      <c r="E769">
        <v>14</v>
      </c>
      <c r="F769">
        <v>1</v>
      </c>
      <c r="G769">
        <v>263</v>
      </c>
      <c r="H769">
        <v>320264</v>
      </c>
    </row>
    <row r="770" spans="1:8">
      <c r="A770" t="s">
        <v>894</v>
      </c>
      <c r="B770" t="s">
        <v>891</v>
      </c>
      <c r="C770">
        <v>257</v>
      </c>
      <c r="D770">
        <v>86</v>
      </c>
      <c r="E770">
        <v>14</v>
      </c>
      <c r="F770">
        <v>1</v>
      </c>
      <c r="G770">
        <v>266</v>
      </c>
      <c r="H770">
        <v>320655</v>
      </c>
    </row>
    <row r="771" spans="1:8">
      <c r="A771" t="s">
        <v>889</v>
      </c>
      <c r="B771" t="s">
        <v>892</v>
      </c>
      <c r="C771">
        <v>258</v>
      </c>
      <c r="D771">
        <v>86</v>
      </c>
      <c r="E771">
        <v>14</v>
      </c>
      <c r="F771">
        <v>1</v>
      </c>
      <c r="G771">
        <v>423</v>
      </c>
      <c r="H771">
        <v>320338</v>
      </c>
    </row>
    <row r="772" spans="1:8">
      <c r="A772" t="s">
        <v>889</v>
      </c>
      <c r="B772" t="s">
        <v>891</v>
      </c>
      <c r="C772">
        <v>259</v>
      </c>
      <c r="D772">
        <v>87</v>
      </c>
      <c r="E772">
        <v>14</v>
      </c>
      <c r="F772">
        <v>1</v>
      </c>
      <c r="G772">
        <v>106</v>
      </c>
      <c r="H772">
        <v>321270</v>
      </c>
    </row>
    <row r="773" spans="1:8">
      <c r="A773" t="s">
        <v>893</v>
      </c>
      <c r="B773" t="s">
        <v>891</v>
      </c>
      <c r="C773">
        <v>260</v>
      </c>
      <c r="D773">
        <v>87</v>
      </c>
      <c r="E773">
        <v>14</v>
      </c>
      <c r="F773">
        <v>1</v>
      </c>
      <c r="G773">
        <v>276</v>
      </c>
      <c r="H773">
        <v>321691</v>
      </c>
    </row>
    <row r="774" spans="1:8">
      <c r="A774" t="s">
        <v>889</v>
      </c>
      <c r="B774" t="s">
        <v>890</v>
      </c>
      <c r="C774">
        <v>261</v>
      </c>
      <c r="D774">
        <v>87</v>
      </c>
      <c r="E774">
        <v>14</v>
      </c>
      <c r="F774">
        <v>1</v>
      </c>
      <c r="G774">
        <v>796</v>
      </c>
      <c r="H774">
        <v>322892</v>
      </c>
    </row>
    <row r="775" spans="1:8">
      <c r="A775" t="s">
        <v>889</v>
      </c>
      <c r="B775" t="s">
        <v>891</v>
      </c>
      <c r="C775">
        <v>262</v>
      </c>
      <c r="D775">
        <v>88</v>
      </c>
      <c r="E775">
        <v>14</v>
      </c>
      <c r="F775">
        <v>1</v>
      </c>
      <c r="G775">
        <v>111</v>
      </c>
      <c r="H775">
        <v>323984</v>
      </c>
    </row>
    <row r="776" spans="1:8">
      <c r="A776" t="s">
        <v>889</v>
      </c>
      <c r="B776" t="s">
        <v>892</v>
      </c>
      <c r="C776">
        <v>263</v>
      </c>
      <c r="D776">
        <v>88</v>
      </c>
      <c r="E776">
        <v>15</v>
      </c>
      <c r="F776">
        <v>1</v>
      </c>
      <c r="G776">
        <v>398</v>
      </c>
      <c r="H776">
        <v>324437</v>
      </c>
    </row>
    <row r="777" spans="1:8">
      <c r="A777" t="s">
        <v>889</v>
      </c>
      <c r="B777" t="s">
        <v>890</v>
      </c>
      <c r="C777">
        <v>264</v>
      </c>
      <c r="D777">
        <v>88</v>
      </c>
      <c r="E777">
        <v>15</v>
      </c>
      <c r="F777">
        <v>1</v>
      </c>
      <c r="G777">
        <v>636</v>
      </c>
      <c r="H777">
        <v>324958</v>
      </c>
    </row>
    <row r="778" spans="1:8">
      <c r="A778" t="s">
        <v>894</v>
      </c>
      <c r="B778" t="s">
        <v>890</v>
      </c>
      <c r="C778">
        <v>265</v>
      </c>
      <c r="D778">
        <v>89</v>
      </c>
      <c r="E778">
        <v>15</v>
      </c>
      <c r="F778">
        <v>1</v>
      </c>
      <c r="G778">
        <v>1004</v>
      </c>
      <c r="H778">
        <v>327798</v>
      </c>
    </row>
    <row r="779" spans="1:8">
      <c r="A779" t="s">
        <v>889</v>
      </c>
      <c r="B779" t="s">
        <v>891</v>
      </c>
      <c r="C779">
        <v>266</v>
      </c>
      <c r="D779">
        <v>89</v>
      </c>
      <c r="E779">
        <v>15</v>
      </c>
      <c r="F779">
        <v>1</v>
      </c>
      <c r="G779">
        <v>291</v>
      </c>
      <c r="H779">
        <v>328309</v>
      </c>
    </row>
    <row r="780" spans="1:8">
      <c r="A780" t="s">
        <v>889</v>
      </c>
      <c r="B780" t="s">
        <v>891</v>
      </c>
      <c r="C780">
        <v>267</v>
      </c>
      <c r="D780">
        <v>89</v>
      </c>
      <c r="E780">
        <v>15</v>
      </c>
      <c r="F780">
        <v>1</v>
      </c>
      <c r="G780">
        <v>131</v>
      </c>
      <c r="H780">
        <v>328350</v>
      </c>
    </row>
    <row r="781" spans="1:8">
      <c r="A781" t="s">
        <v>893</v>
      </c>
      <c r="B781" t="s">
        <v>890</v>
      </c>
      <c r="C781">
        <v>268</v>
      </c>
      <c r="D781">
        <v>90</v>
      </c>
      <c r="E781">
        <v>15</v>
      </c>
      <c r="F781">
        <v>1</v>
      </c>
      <c r="G781">
        <v>918</v>
      </c>
      <c r="H781">
        <v>330754</v>
      </c>
    </row>
    <row r="782" spans="1:8">
      <c r="A782" t="s">
        <v>889</v>
      </c>
      <c r="B782" t="s">
        <v>891</v>
      </c>
      <c r="C782">
        <v>269</v>
      </c>
      <c r="D782">
        <v>90</v>
      </c>
      <c r="E782">
        <v>15</v>
      </c>
      <c r="F782">
        <v>1</v>
      </c>
      <c r="G782">
        <v>266</v>
      </c>
      <c r="H782">
        <v>331075</v>
      </c>
    </row>
    <row r="783" spans="1:8">
      <c r="A783" t="s">
        <v>894</v>
      </c>
      <c r="B783" t="s">
        <v>891</v>
      </c>
      <c r="C783">
        <v>270</v>
      </c>
      <c r="D783">
        <v>90</v>
      </c>
      <c r="E783">
        <v>15</v>
      </c>
      <c r="F783">
        <v>1</v>
      </c>
      <c r="G783">
        <v>291</v>
      </c>
      <c r="H783">
        <v>331531</v>
      </c>
    </row>
    <row r="784" spans="1:8">
      <c r="A784" t="s">
        <v>889</v>
      </c>
      <c r="B784" t="s">
        <v>890</v>
      </c>
      <c r="C784">
        <v>271</v>
      </c>
      <c r="D784">
        <v>91</v>
      </c>
      <c r="E784">
        <v>15</v>
      </c>
      <c r="F784">
        <v>1</v>
      </c>
      <c r="G784">
        <v>663</v>
      </c>
      <c r="H784">
        <v>333615</v>
      </c>
    </row>
    <row r="785" spans="1:8">
      <c r="A785" t="s">
        <v>889</v>
      </c>
      <c r="B785" t="s">
        <v>890</v>
      </c>
      <c r="C785">
        <v>272</v>
      </c>
      <c r="D785">
        <v>91</v>
      </c>
      <c r="E785">
        <v>15</v>
      </c>
      <c r="F785">
        <v>1</v>
      </c>
      <c r="G785">
        <v>854</v>
      </c>
      <c r="H785">
        <v>334524</v>
      </c>
    </row>
    <row r="786" spans="1:8">
      <c r="A786" t="s">
        <v>894</v>
      </c>
      <c r="B786" t="s">
        <v>891</v>
      </c>
      <c r="C786">
        <v>273</v>
      </c>
      <c r="D786">
        <v>91</v>
      </c>
      <c r="E786">
        <v>15</v>
      </c>
      <c r="F786">
        <v>1</v>
      </c>
      <c r="G786">
        <v>111</v>
      </c>
      <c r="H786">
        <v>334660</v>
      </c>
    </row>
    <row r="787" spans="1:8">
      <c r="A787" t="s">
        <v>889</v>
      </c>
      <c r="B787" t="s">
        <v>890</v>
      </c>
      <c r="C787">
        <v>274</v>
      </c>
      <c r="D787">
        <v>92</v>
      </c>
      <c r="E787">
        <v>15</v>
      </c>
      <c r="F787">
        <v>1</v>
      </c>
      <c r="G787">
        <v>636</v>
      </c>
      <c r="H787">
        <v>336327</v>
      </c>
    </row>
    <row r="788" spans="1:8">
      <c r="A788" t="s">
        <v>893</v>
      </c>
      <c r="B788" t="s">
        <v>890</v>
      </c>
      <c r="C788">
        <v>275</v>
      </c>
      <c r="D788">
        <v>92</v>
      </c>
      <c r="E788">
        <v>15</v>
      </c>
      <c r="F788">
        <v>1</v>
      </c>
      <c r="G788">
        <v>874</v>
      </c>
      <c r="H788">
        <v>337386</v>
      </c>
    </row>
    <row r="789" spans="1:8">
      <c r="A789" t="s">
        <v>889</v>
      </c>
      <c r="B789" t="s">
        <v>891</v>
      </c>
      <c r="C789">
        <v>276</v>
      </c>
      <c r="D789">
        <v>92</v>
      </c>
      <c r="E789">
        <v>15</v>
      </c>
      <c r="F789">
        <v>1</v>
      </c>
      <c r="G789">
        <v>291</v>
      </c>
      <c r="H789">
        <v>336772</v>
      </c>
    </row>
    <row r="790" spans="1:8">
      <c r="A790" t="s">
        <v>889</v>
      </c>
      <c r="B790" t="s">
        <v>890</v>
      </c>
      <c r="C790">
        <v>277</v>
      </c>
      <c r="D790">
        <v>93</v>
      </c>
      <c r="E790">
        <v>15</v>
      </c>
      <c r="F790">
        <v>1</v>
      </c>
      <c r="G790">
        <v>636</v>
      </c>
      <c r="H790">
        <v>338434</v>
      </c>
    </row>
    <row r="791" spans="1:8">
      <c r="A791" t="s">
        <v>889</v>
      </c>
      <c r="B791" t="s">
        <v>890</v>
      </c>
      <c r="C791">
        <v>278</v>
      </c>
      <c r="D791">
        <v>93</v>
      </c>
      <c r="E791">
        <v>15</v>
      </c>
      <c r="F791">
        <v>1</v>
      </c>
      <c r="G791">
        <v>888</v>
      </c>
      <c r="H791">
        <v>338417</v>
      </c>
    </row>
    <row r="792" spans="1:8">
      <c r="A792" t="s">
        <v>889</v>
      </c>
      <c r="B792" t="s">
        <v>890</v>
      </c>
      <c r="C792">
        <v>279</v>
      </c>
      <c r="D792">
        <v>93</v>
      </c>
      <c r="E792">
        <v>15</v>
      </c>
      <c r="F792">
        <v>1</v>
      </c>
      <c r="G792">
        <v>784</v>
      </c>
      <c r="H792">
        <v>339586</v>
      </c>
    </row>
    <row r="793" spans="1:8">
      <c r="A793" t="s">
        <v>893</v>
      </c>
      <c r="B793" t="s">
        <v>890</v>
      </c>
      <c r="C793">
        <v>280</v>
      </c>
      <c r="D793">
        <v>94</v>
      </c>
      <c r="E793">
        <v>15</v>
      </c>
      <c r="F793">
        <v>1</v>
      </c>
      <c r="G793">
        <v>2069</v>
      </c>
      <c r="H793">
        <v>342671</v>
      </c>
    </row>
    <row r="794" spans="1:8">
      <c r="A794" t="s">
        <v>889</v>
      </c>
      <c r="B794" t="s">
        <v>892</v>
      </c>
      <c r="C794">
        <v>281</v>
      </c>
      <c r="D794">
        <v>94</v>
      </c>
      <c r="E794">
        <v>15</v>
      </c>
      <c r="F794">
        <v>1</v>
      </c>
      <c r="G794">
        <v>423</v>
      </c>
      <c r="H794">
        <v>343574</v>
      </c>
    </row>
    <row r="795" spans="1:8">
      <c r="A795" t="s">
        <v>889</v>
      </c>
      <c r="B795" t="s">
        <v>892</v>
      </c>
      <c r="C795">
        <v>282</v>
      </c>
      <c r="D795">
        <v>94</v>
      </c>
      <c r="E795">
        <v>15</v>
      </c>
      <c r="F795">
        <v>1</v>
      </c>
      <c r="G795">
        <v>263</v>
      </c>
      <c r="H795">
        <v>344072</v>
      </c>
    </row>
    <row r="796" spans="1:8">
      <c r="A796" t="s">
        <v>889</v>
      </c>
      <c r="B796" t="s">
        <v>890</v>
      </c>
      <c r="C796">
        <v>283</v>
      </c>
      <c r="D796">
        <v>95</v>
      </c>
      <c r="E796">
        <v>16</v>
      </c>
      <c r="F796">
        <v>1</v>
      </c>
      <c r="G796">
        <v>1070</v>
      </c>
      <c r="H796">
        <v>346608</v>
      </c>
    </row>
    <row r="797" spans="1:8">
      <c r="A797" t="s">
        <v>889</v>
      </c>
      <c r="B797" t="s">
        <v>890</v>
      </c>
      <c r="C797">
        <v>284</v>
      </c>
      <c r="D797">
        <v>95</v>
      </c>
      <c r="E797">
        <v>16</v>
      </c>
      <c r="F797">
        <v>1</v>
      </c>
      <c r="G797">
        <v>965</v>
      </c>
      <c r="H797">
        <v>347458</v>
      </c>
    </row>
    <row r="798" spans="1:8">
      <c r="A798" t="s">
        <v>894</v>
      </c>
      <c r="B798" t="s">
        <v>891</v>
      </c>
      <c r="C798">
        <v>285</v>
      </c>
      <c r="D798">
        <v>95</v>
      </c>
      <c r="E798">
        <v>16</v>
      </c>
      <c r="F798">
        <v>1</v>
      </c>
      <c r="G798">
        <v>111</v>
      </c>
      <c r="H798">
        <v>347594</v>
      </c>
    </row>
    <row r="799" spans="1:8">
      <c r="A799" t="s">
        <v>889</v>
      </c>
      <c r="B799" t="s">
        <v>891</v>
      </c>
      <c r="C799">
        <v>286</v>
      </c>
      <c r="D799">
        <v>96</v>
      </c>
      <c r="E799">
        <v>16</v>
      </c>
      <c r="F799">
        <v>1</v>
      </c>
      <c r="G799">
        <v>291</v>
      </c>
      <c r="H799">
        <v>348931</v>
      </c>
    </row>
    <row r="800" spans="1:8">
      <c r="A800" t="s">
        <v>889</v>
      </c>
      <c r="B800" t="s">
        <v>891</v>
      </c>
      <c r="C800">
        <v>287</v>
      </c>
      <c r="D800">
        <v>96</v>
      </c>
      <c r="E800">
        <v>16</v>
      </c>
      <c r="F800">
        <v>1</v>
      </c>
      <c r="G800">
        <v>138</v>
      </c>
      <c r="H800">
        <v>348954</v>
      </c>
    </row>
    <row r="801" spans="1:8">
      <c r="A801" t="s">
        <v>893</v>
      </c>
      <c r="B801" t="s">
        <v>890</v>
      </c>
      <c r="C801">
        <v>288</v>
      </c>
      <c r="D801">
        <v>96</v>
      </c>
      <c r="E801">
        <v>16</v>
      </c>
      <c r="F801">
        <v>1</v>
      </c>
      <c r="G801">
        <v>726</v>
      </c>
      <c r="H801">
        <v>349855</v>
      </c>
    </row>
    <row r="802" spans="1:8">
      <c r="A802" t="s">
        <v>889</v>
      </c>
      <c r="B802" t="s">
        <v>890</v>
      </c>
      <c r="C802">
        <v>289</v>
      </c>
      <c r="D802">
        <v>97</v>
      </c>
      <c r="E802">
        <v>16</v>
      </c>
      <c r="F802">
        <v>1</v>
      </c>
      <c r="G802">
        <v>854</v>
      </c>
      <c r="H802">
        <v>351825</v>
      </c>
    </row>
    <row r="803" spans="1:8">
      <c r="A803" t="s">
        <v>894</v>
      </c>
      <c r="B803" t="s">
        <v>890</v>
      </c>
      <c r="C803">
        <v>290</v>
      </c>
      <c r="D803">
        <v>97</v>
      </c>
      <c r="E803">
        <v>16</v>
      </c>
      <c r="F803">
        <v>1</v>
      </c>
      <c r="G803">
        <v>1061</v>
      </c>
      <c r="H803">
        <v>353201</v>
      </c>
    </row>
    <row r="804" spans="1:8">
      <c r="A804" t="s">
        <v>889</v>
      </c>
      <c r="B804" t="s">
        <v>891</v>
      </c>
      <c r="C804">
        <v>291</v>
      </c>
      <c r="D804">
        <v>97</v>
      </c>
      <c r="E804">
        <v>16</v>
      </c>
      <c r="F804">
        <v>1</v>
      </c>
      <c r="G804">
        <v>106</v>
      </c>
      <c r="H804">
        <v>353192</v>
      </c>
    </row>
    <row r="805" spans="1:8">
      <c r="A805" t="s">
        <v>889</v>
      </c>
      <c r="B805" t="s">
        <v>890</v>
      </c>
      <c r="C805">
        <v>292</v>
      </c>
      <c r="D805">
        <v>98</v>
      </c>
      <c r="E805">
        <v>16</v>
      </c>
      <c r="F805">
        <v>1</v>
      </c>
      <c r="G805">
        <v>796</v>
      </c>
      <c r="H805">
        <v>355434</v>
      </c>
    </row>
    <row r="806" spans="1:8">
      <c r="A806" t="s">
        <v>894</v>
      </c>
      <c r="B806" t="s">
        <v>891</v>
      </c>
      <c r="C806">
        <v>293</v>
      </c>
      <c r="D806">
        <v>98</v>
      </c>
      <c r="E806">
        <v>16</v>
      </c>
      <c r="F806">
        <v>1</v>
      </c>
      <c r="G806">
        <v>291</v>
      </c>
      <c r="H806">
        <v>355895</v>
      </c>
    </row>
    <row r="807" spans="1:8">
      <c r="A807" t="s">
        <v>889</v>
      </c>
      <c r="B807" t="s">
        <v>890</v>
      </c>
      <c r="C807">
        <v>294</v>
      </c>
      <c r="D807">
        <v>98</v>
      </c>
      <c r="E807">
        <v>16</v>
      </c>
      <c r="F807">
        <v>1</v>
      </c>
      <c r="G807">
        <v>663</v>
      </c>
      <c r="H807">
        <v>356443</v>
      </c>
    </row>
    <row r="808" spans="1:8">
      <c r="A808" t="s">
        <v>893</v>
      </c>
      <c r="B808" t="s">
        <v>890</v>
      </c>
      <c r="C808">
        <v>295</v>
      </c>
      <c r="D808">
        <v>99</v>
      </c>
      <c r="E808">
        <v>16</v>
      </c>
      <c r="F808">
        <v>1</v>
      </c>
      <c r="G808">
        <v>656</v>
      </c>
      <c r="H808">
        <v>358200</v>
      </c>
    </row>
    <row r="809" spans="1:8">
      <c r="A809" t="s">
        <v>889</v>
      </c>
      <c r="B809" t="s">
        <v>892</v>
      </c>
      <c r="C809">
        <v>296</v>
      </c>
      <c r="D809">
        <v>99</v>
      </c>
      <c r="E809">
        <v>16</v>
      </c>
      <c r="F809">
        <v>1</v>
      </c>
      <c r="G809">
        <v>423</v>
      </c>
      <c r="H809">
        <v>358233</v>
      </c>
    </row>
    <row r="810" spans="1:8">
      <c r="A810" t="s">
        <v>889</v>
      </c>
      <c r="B810" t="s">
        <v>890</v>
      </c>
      <c r="C810">
        <v>297</v>
      </c>
      <c r="D810">
        <v>99</v>
      </c>
      <c r="E810">
        <v>16</v>
      </c>
      <c r="F810">
        <v>1</v>
      </c>
      <c r="G810">
        <v>751</v>
      </c>
      <c r="H810">
        <v>358894</v>
      </c>
    </row>
    <row r="811" spans="1:8">
      <c r="A811" t="s">
        <v>889</v>
      </c>
      <c r="B811" t="s">
        <v>892</v>
      </c>
      <c r="C811">
        <v>298</v>
      </c>
      <c r="D811">
        <v>100</v>
      </c>
      <c r="E811">
        <v>16</v>
      </c>
      <c r="F811">
        <v>1</v>
      </c>
      <c r="G811">
        <v>423</v>
      </c>
      <c r="H811">
        <v>359273</v>
      </c>
    </row>
    <row r="812" spans="1:8">
      <c r="A812" t="s">
        <v>889</v>
      </c>
      <c r="B812" t="s">
        <v>891</v>
      </c>
      <c r="C812">
        <v>299</v>
      </c>
      <c r="D812">
        <v>100</v>
      </c>
      <c r="E812">
        <v>16</v>
      </c>
      <c r="F812">
        <v>1</v>
      </c>
      <c r="G812">
        <v>131</v>
      </c>
      <c r="H812">
        <v>359389</v>
      </c>
    </row>
    <row r="813" spans="1:8">
      <c r="A813" t="s">
        <v>893</v>
      </c>
      <c r="B813" t="s">
        <v>890</v>
      </c>
      <c r="C813">
        <v>300</v>
      </c>
      <c r="D813">
        <v>100</v>
      </c>
      <c r="E813">
        <v>16</v>
      </c>
      <c r="F813">
        <v>1</v>
      </c>
      <c r="G813">
        <v>1896</v>
      </c>
      <c r="H813">
        <v>361650</v>
      </c>
    </row>
    <row r="814" spans="1:8">
      <c r="A814" t="s">
        <v>889</v>
      </c>
      <c r="B814" t="s">
        <v>891</v>
      </c>
      <c r="C814">
        <v>301</v>
      </c>
      <c r="D814">
        <v>101</v>
      </c>
      <c r="E814">
        <v>16</v>
      </c>
      <c r="F814">
        <v>1</v>
      </c>
      <c r="G814">
        <v>266</v>
      </c>
      <c r="H814">
        <v>362887</v>
      </c>
    </row>
    <row r="815" spans="1:8">
      <c r="A815" t="s">
        <v>889</v>
      </c>
      <c r="B815" t="s">
        <v>890</v>
      </c>
      <c r="C815">
        <v>302</v>
      </c>
      <c r="D815">
        <v>101</v>
      </c>
      <c r="E815">
        <v>16</v>
      </c>
      <c r="F815">
        <v>1</v>
      </c>
      <c r="G815">
        <v>668</v>
      </c>
      <c r="H815">
        <v>364420</v>
      </c>
    </row>
    <row r="816" spans="1:8">
      <c r="A816" t="s">
        <v>889</v>
      </c>
      <c r="B816" t="s">
        <v>892</v>
      </c>
      <c r="C816">
        <v>303</v>
      </c>
      <c r="D816">
        <v>101</v>
      </c>
      <c r="E816">
        <v>17</v>
      </c>
      <c r="F816">
        <v>1</v>
      </c>
      <c r="G816">
        <v>436</v>
      </c>
      <c r="H816">
        <v>364911</v>
      </c>
    </row>
    <row r="817" spans="1:8">
      <c r="A817" t="s">
        <v>889</v>
      </c>
      <c r="B817" t="s">
        <v>892</v>
      </c>
      <c r="C817">
        <v>304</v>
      </c>
      <c r="D817">
        <v>102</v>
      </c>
      <c r="E817">
        <v>17</v>
      </c>
      <c r="F817">
        <v>1</v>
      </c>
      <c r="G817">
        <v>238</v>
      </c>
      <c r="H817">
        <v>366125</v>
      </c>
    </row>
    <row r="818" spans="1:8">
      <c r="A818" t="s">
        <v>894</v>
      </c>
      <c r="B818" t="s">
        <v>890</v>
      </c>
      <c r="C818">
        <v>305</v>
      </c>
      <c r="D818">
        <v>102</v>
      </c>
      <c r="E818">
        <v>17</v>
      </c>
      <c r="F818">
        <v>1</v>
      </c>
      <c r="G818">
        <v>1038</v>
      </c>
      <c r="H818">
        <v>367408</v>
      </c>
    </row>
    <row r="819" spans="1:8">
      <c r="A819" t="s">
        <v>889</v>
      </c>
      <c r="B819" t="s">
        <v>892</v>
      </c>
      <c r="C819">
        <v>306</v>
      </c>
      <c r="D819">
        <v>102</v>
      </c>
      <c r="E819">
        <v>17</v>
      </c>
      <c r="F819">
        <v>1</v>
      </c>
      <c r="G819">
        <v>423</v>
      </c>
      <c r="H819">
        <v>368236</v>
      </c>
    </row>
    <row r="820" spans="1:8">
      <c r="A820" t="s">
        <v>889</v>
      </c>
      <c r="B820" t="s">
        <v>891</v>
      </c>
      <c r="C820">
        <v>307</v>
      </c>
      <c r="D820">
        <v>103</v>
      </c>
      <c r="E820">
        <v>17</v>
      </c>
      <c r="F820">
        <v>1</v>
      </c>
      <c r="G820">
        <v>131</v>
      </c>
      <c r="H820">
        <v>369618</v>
      </c>
    </row>
    <row r="821" spans="1:8">
      <c r="A821" t="s">
        <v>893</v>
      </c>
      <c r="B821" t="s">
        <v>891</v>
      </c>
      <c r="C821">
        <v>308</v>
      </c>
      <c r="D821">
        <v>103</v>
      </c>
      <c r="E821">
        <v>17</v>
      </c>
      <c r="F821">
        <v>1</v>
      </c>
      <c r="G821">
        <v>298</v>
      </c>
      <c r="H821">
        <v>370041</v>
      </c>
    </row>
    <row r="822" spans="1:8">
      <c r="A822" t="s">
        <v>889</v>
      </c>
      <c r="B822" t="s">
        <v>892</v>
      </c>
      <c r="C822">
        <v>309</v>
      </c>
      <c r="D822">
        <v>103</v>
      </c>
      <c r="E822">
        <v>17</v>
      </c>
      <c r="F822">
        <v>1</v>
      </c>
      <c r="G822">
        <v>436</v>
      </c>
      <c r="H822">
        <v>370532</v>
      </c>
    </row>
    <row r="823" spans="1:8">
      <c r="A823" t="s">
        <v>894</v>
      </c>
      <c r="B823" t="s">
        <v>890</v>
      </c>
      <c r="C823">
        <v>310</v>
      </c>
      <c r="D823">
        <v>104</v>
      </c>
      <c r="E823">
        <v>17</v>
      </c>
      <c r="F823">
        <v>1</v>
      </c>
      <c r="G823">
        <v>978</v>
      </c>
      <c r="H823">
        <v>372801</v>
      </c>
    </row>
    <row r="824" spans="1:8">
      <c r="A824" t="s">
        <v>889</v>
      </c>
      <c r="B824" t="s">
        <v>890</v>
      </c>
      <c r="C824">
        <v>311</v>
      </c>
      <c r="D824">
        <v>104</v>
      </c>
      <c r="E824">
        <v>17</v>
      </c>
      <c r="F824">
        <v>1</v>
      </c>
      <c r="G824">
        <v>694</v>
      </c>
      <c r="H824">
        <v>373540</v>
      </c>
    </row>
    <row r="825" spans="1:8">
      <c r="A825" t="s">
        <v>889</v>
      </c>
      <c r="B825" t="s">
        <v>890</v>
      </c>
      <c r="C825">
        <v>312</v>
      </c>
      <c r="D825">
        <v>104</v>
      </c>
      <c r="E825">
        <v>17</v>
      </c>
      <c r="F825">
        <v>1</v>
      </c>
      <c r="G825">
        <v>911</v>
      </c>
      <c r="H825">
        <v>374506</v>
      </c>
    </row>
    <row r="826" spans="1:8">
      <c r="A826" t="s">
        <v>894</v>
      </c>
      <c r="B826" t="s">
        <v>891</v>
      </c>
      <c r="C826">
        <v>313</v>
      </c>
      <c r="D826">
        <v>105</v>
      </c>
      <c r="E826">
        <v>17</v>
      </c>
      <c r="F826">
        <v>1</v>
      </c>
      <c r="G826">
        <v>111</v>
      </c>
      <c r="H826">
        <v>375733</v>
      </c>
    </row>
    <row r="827" spans="1:8">
      <c r="A827" t="s">
        <v>889</v>
      </c>
      <c r="B827" t="s">
        <v>890</v>
      </c>
      <c r="C827">
        <v>314</v>
      </c>
      <c r="D827">
        <v>105</v>
      </c>
      <c r="E827">
        <v>17</v>
      </c>
      <c r="F827">
        <v>1</v>
      </c>
      <c r="G827">
        <v>668</v>
      </c>
      <c r="H827">
        <v>376286</v>
      </c>
    </row>
    <row r="828" spans="1:8">
      <c r="A828" t="s">
        <v>889</v>
      </c>
      <c r="B828" t="s">
        <v>892</v>
      </c>
      <c r="C828">
        <v>315</v>
      </c>
      <c r="D828">
        <v>105</v>
      </c>
      <c r="E828">
        <v>17</v>
      </c>
      <c r="F828">
        <v>1</v>
      </c>
      <c r="G828">
        <v>423</v>
      </c>
      <c r="H828">
        <v>375964</v>
      </c>
    </row>
    <row r="829" spans="1:8">
      <c r="A829" t="s">
        <v>889</v>
      </c>
      <c r="B829" t="s">
        <v>890</v>
      </c>
      <c r="C829">
        <v>316</v>
      </c>
      <c r="D829">
        <v>106</v>
      </c>
      <c r="E829">
        <v>17</v>
      </c>
      <c r="F829">
        <v>1</v>
      </c>
      <c r="G829">
        <v>728</v>
      </c>
      <c r="H829">
        <v>377843</v>
      </c>
    </row>
    <row r="830" spans="1:8">
      <c r="A830" t="s">
        <v>894</v>
      </c>
      <c r="B830" t="s">
        <v>891</v>
      </c>
      <c r="C830">
        <v>317</v>
      </c>
      <c r="D830">
        <v>106</v>
      </c>
      <c r="E830">
        <v>17</v>
      </c>
      <c r="F830">
        <v>1</v>
      </c>
      <c r="G830">
        <v>398</v>
      </c>
      <c r="H830">
        <v>378266</v>
      </c>
    </row>
    <row r="831" spans="1:8">
      <c r="A831" t="s">
        <v>889</v>
      </c>
      <c r="B831" t="s">
        <v>890</v>
      </c>
      <c r="C831">
        <v>318</v>
      </c>
      <c r="D831">
        <v>106</v>
      </c>
      <c r="E831">
        <v>17</v>
      </c>
      <c r="F831">
        <v>1</v>
      </c>
      <c r="G831">
        <v>796</v>
      </c>
      <c r="H831">
        <v>378362</v>
      </c>
    </row>
    <row r="832" spans="1:8">
      <c r="A832" t="s">
        <v>889</v>
      </c>
      <c r="B832" t="s">
        <v>892</v>
      </c>
      <c r="C832">
        <v>319</v>
      </c>
      <c r="D832">
        <v>107</v>
      </c>
      <c r="E832">
        <v>17</v>
      </c>
      <c r="F832">
        <v>1</v>
      </c>
      <c r="G832">
        <v>263</v>
      </c>
      <c r="H832">
        <v>379526</v>
      </c>
    </row>
    <row r="833" spans="1:8">
      <c r="A833" t="s">
        <v>889</v>
      </c>
      <c r="B833" t="s">
        <v>890</v>
      </c>
      <c r="C833">
        <v>320</v>
      </c>
      <c r="D833">
        <v>107</v>
      </c>
      <c r="E833">
        <v>17</v>
      </c>
      <c r="F833">
        <v>1</v>
      </c>
      <c r="G833">
        <v>888</v>
      </c>
      <c r="H833">
        <v>380609</v>
      </c>
    </row>
    <row r="834" spans="1:8">
      <c r="A834" t="s">
        <v>889</v>
      </c>
      <c r="B834" t="s">
        <v>891</v>
      </c>
      <c r="C834">
        <v>321</v>
      </c>
      <c r="D834">
        <v>107</v>
      </c>
      <c r="E834">
        <v>17</v>
      </c>
      <c r="F834">
        <v>1</v>
      </c>
      <c r="G834">
        <v>131</v>
      </c>
      <c r="H834">
        <v>384175</v>
      </c>
    </row>
    <row r="835" spans="1:8">
      <c r="A835" t="s">
        <v>895</v>
      </c>
      <c r="B835" t="s">
        <v>890</v>
      </c>
      <c r="C835">
        <v>322</v>
      </c>
      <c r="D835">
        <v>108</v>
      </c>
      <c r="E835">
        <v>18</v>
      </c>
      <c r="F835">
        <v>1</v>
      </c>
      <c r="G835">
        <v>1456</v>
      </c>
      <c r="H835">
        <v>387192</v>
      </c>
    </row>
    <row r="836" spans="1:8">
      <c r="A836" t="s">
        <v>895</v>
      </c>
      <c r="B836" t="s">
        <v>890</v>
      </c>
      <c r="C836">
        <v>323</v>
      </c>
      <c r="D836">
        <v>108</v>
      </c>
      <c r="E836">
        <v>18</v>
      </c>
      <c r="F836">
        <v>1</v>
      </c>
      <c r="G836">
        <v>4894</v>
      </c>
      <c r="H836">
        <v>392281</v>
      </c>
    </row>
    <row r="837" spans="1:8">
      <c r="A837" t="s">
        <v>889</v>
      </c>
      <c r="B837" t="s">
        <v>891</v>
      </c>
      <c r="C837">
        <v>324</v>
      </c>
      <c r="D837">
        <v>108</v>
      </c>
      <c r="E837">
        <v>18</v>
      </c>
      <c r="F837">
        <v>1</v>
      </c>
      <c r="G837">
        <v>298</v>
      </c>
      <c r="H837">
        <v>392634</v>
      </c>
    </row>
    <row r="838" spans="1:8">
      <c r="A838" t="s">
        <v>889</v>
      </c>
      <c r="B838" t="s">
        <v>890</v>
      </c>
      <c r="C838">
        <v>325</v>
      </c>
      <c r="D838">
        <v>109</v>
      </c>
      <c r="E838">
        <v>18</v>
      </c>
      <c r="F838">
        <v>1</v>
      </c>
      <c r="G838">
        <v>636</v>
      </c>
      <c r="H838">
        <v>395246</v>
      </c>
    </row>
    <row r="839" spans="1:8">
      <c r="A839" t="s">
        <v>894</v>
      </c>
      <c r="B839" t="s">
        <v>890</v>
      </c>
      <c r="C839">
        <v>326</v>
      </c>
      <c r="D839">
        <v>109</v>
      </c>
      <c r="E839">
        <v>18</v>
      </c>
      <c r="F839">
        <v>1</v>
      </c>
      <c r="G839">
        <v>1070</v>
      </c>
      <c r="H839">
        <v>396661</v>
      </c>
    </row>
    <row r="840" spans="1:8">
      <c r="A840" t="s">
        <v>889</v>
      </c>
      <c r="B840" t="s">
        <v>892</v>
      </c>
      <c r="C840">
        <v>327</v>
      </c>
      <c r="D840">
        <v>109</v>
      </c>
      <c r="E840">
        <v>18</v>
      </c>
      <c r="F840">
        <v>1</v>
      </c>
      <c r="G840">
        <v>398</v>
      </c>
      <c r="H840">
        <v>397234</v>
      </c>
    </row>
    <row r="841" spans="1:8">
      <c r="A841" t="s">
        <v>889</v>
      </c>
      <c r="B841" t="s">
        <v>891</v>
      </c>
      <c r="C841">
        <v>328</v>
      </c>
      <c r="D841">
        <v>110</v>
      </c>
      <c r="E841">
        <v>18</v>
      </c>
      <c r="F841">
        <v>1</v>
      </c>
      <c r="G841">
        <v>106</v>
      </c>
      <c r="H841">
        <v>398291</v>
      </c>
    </row>
    <row r="842" spans="1:8">
      <c r="A842" t="s">
        <v>893</v>
      </c>
      <c r="B842" t="s">
        <v>891</v>
      </c>
      <c r="C842">
        <v>329</v>
      </c>
      <c r="D842">
        <v>110</v>
      </c>
      <c r="E842">
        <v>18</v>
      </c>
      <c r="F842">
        <v>1</v>
      </c>
      <c r="G842">
        <v>111</v>
      </c>
      <c r="H842">
        <v>398627</v>
      </c>
    </row>
    <row r="843" spans="1:8">
      <c r="A843" t="s">
        <v>889</v>
      </c>
      <c r="B843" t="s">
        <v>891</v>
      </c>
      <c r="C843">
        <v>330</v>
      </c>
      <c r="D843">
        <v>110</v>
      </c>
      <c r="E843">
        <v>18</v>
      </c>
      <c r="F843">
        <v>1</v>
      </c>
      <c r="G843">
        <v>271</v>
      </c>
      <c r="H843">
        <v>398953</v>
      </c>
    </row>
    <row r="844" spans="1:8">
      <c r="A844" t="s">
        <v>894</v>
      </c>
      <c r="B844" t="s">
        <v>892</v>
      </c>
      <c r="C844">
        <v>331</v>
      </c>
      <c r="D844">
        <v>111</v>
      </c>
      <c r="E844">
        <v>18</v>
      </c>
      <c r="F844">
        <v>1</v>
      </c>
      <c r="G844">
        <v>423</v>
      </c>
      <c r="H844">
        <v>400592</v>
      </c>
    </row>
    <row r="845" spans="1:8">
      <c r="A845" t="s">
        <v>889</v>
      </c>
      <c r="B845" t="s">
        <v>890</v>
      </c>
      <c r="C845">
        <v>332</v>
      </c>
      <c r="D845">
        <v>111</v>
      </c>
      <c r="E845">
        <v>18</v>
      </c>
      <c r="F845">
        <v>1</v>
      </c>
      <c r="G845">
        <v>663</v>
      </c>
      <c r="H845">
        <v>401500</v>
      </c>
    </row>
    <row r="846" spans="1:8">
      <c r="A846" t="s">
        <v>889</v>
      </c>
      <c r="B846" t="s">
        <v>890</v>
      </c>
      <c r="C846">
        <v>333</v>
      </c>
      <c r="D846">
        <v>111</v>
      </c>
      <c r="E846">
        <v>18</v>
      </c>
      <c r="F846">
        <v>1</v>
      </c>
      <c r="G846">
        <v>884</v>
      </c>
      <c r="H846">
        <v>402439</v>
      </c>
    </row>
    <row r="847" spans="1:8">
      <c r="A847" t="s">
        <v>894</v>
      </c>
      <c r="B847" t="s">
        <v>892</v>
      </c>
      <c r="C847">
        <v>334</v>
      </c>
      <c r="D847">
        <v>112</v>
      </c>
      <c r="E847">
        <v>18</v>
      </c>
      <c r="F847">
        <v>1</v>
      </c>
      <c r="G847">
        <v>276</v>
      </c>
      <c r="H847">
        <v>403956</v>
      </c>
    </row>
    <row r="848" spans="1:8">
      <c r="A848" t="s">
        <v>889</v>
      </c>
      <c r="B848" t="s">
        <v>892</v>
      </c>
      <c r="C848">
        <v>335</v>
      </c>
      <c r="D848">
        <v>112</v>
      </c>
      <c r="E848">
        <v>18</v>
      </c>
      <c r="F848">
        <v>1</v>
      </c>
      <c r="G848">
        <v>263</v>
      </c>
      <c r="H848">
        <v>403144</v>
      </c>
    </row>
    <row r="849" spans="1:8">
      <c r="A849" t="s">
        <v>889</v>
      </c>
      <c r="B849" t="s">
        <v>892</v>
      </c>
      <c r="C849">
        <v>336</v>
      </c>
      <c r="D849">
        <v>112</v>
      </c>
      <c r="E849">
        <v>18</v>
      </c>
      <c r="F849">
        <v>1</v>
      </c>
      <c r="G849">
        <v>436</v>
      </c>
      <c r="H849">
        <v>403780</v>
      </c>
    </row>
    <row r="850" spans="1:8">
      <c r="A850" t="s">
        <v>889</v>
      </c>
      <c r="B850" t="s">
        <v>890</v>
      </c>
      <c r="C850">
        <v>337</v>
      </c>
      <c r="D850">
        <v>113</v>
      </c>
      <c r="E850">
        <v>18</v>
      </c>
      <c r="F850">
        <v>1</v>
      </c>
      <c r="G850">
        <v>823</v>
      </c>
      <c r="H850">
        <v>405649</v>
      </c>
    </row>
    <row r="851" spans="1:8">
      <c r="A851" t="s">
        <v>894</v>
      </c>
      <c r="B851" t="s">
        <v>890</v>
      </c>
      <c r="C851">
        <v>338</v>
      </c>
      <c r="D851">
        <v>113</v>
      </c>
      <c r="E851">
        <v>18</v>
      </c>
      <c r="F851">
        <v>1</v>
      </c>
      <c r="G851">
        <v>1404</v>
      </c>
      <c r="H851">
        <v>407648</v>
      </c>
    </row>
    <row r="852" spans="1:8">
      <c r="A852" t="s">
        <v>889</v>
      </c>
      <c r="B852" t="s">
        <v>890</v>
      </c>
      <c r="C852">
        <v>339</v>
      </c>
      <c r="D852">
        <v>113</v>
      </c>
      <c r="E852">
        <v>18</v>
      </c>
      <c r="F852">
        <v>1</v>
      </c>
      <c r="G852">
        <v>1065</v>
      </c>
      <c r="H852">
        <v>408273</v>
      </c>
    </row>
    <row r="853" spans="1:8">
      <c r="A853" t="s">
        <v>889</v>
      </c>
      <c r="B853" t="s">
        <v>890</v>
      </c>
      <c r="C853">
        <v>340</v>
      </c>
      <c r="D853">
        <v>114</v>
      </c>
      <c r="E853">
        <v>18</v>
      </c>
      <c r="F853">
        <v>1</v>
      </c>
      <c r="G853">
        <v>965</v>
      </c>
      <c r="H853">
        <v>410579</v>
      </c>
    </row>
    <row r="854" spans="1:8">
      <c r="A854" t="s">
        <v>889</v>
      </c>
      <c r="B854" t="s">
        <v>892</v>
      </c>
      <c r="C854">
        <v>341</v>
      </c>
      <c r="D854">
        <v>114</v>
      </c>
      <c r="E854">
        <v>18</v>
      </c>
      <c r="F854">
        <v>1</v>
      </c>
      <c r="G854">
        <v>436</v>
      </c>
      <c r="H854">
        <v>411170</v>
      </c>
    </row>
    <row r="855" spans="1:8">
      <c r="A855" t="s">
        <v>894</v>
      </c>
      <c r="B855" t="s">
        <v>890</v>
      </c>
      <c r="C855">
        <v>342</v>
      </c>
      <c r="D855">
        <v>114</v>
      </c>
      <c r="E855">
        <v>18</v>
      </c>
      <c r="F855">
        <v>1</v>
      </c>
      <c r="G855">
        <v>3783</v>
      </c>
      <c r="H855">
        <v>415403</v>
      </c>
    </row>
    <row r="856" spans="1:8">
      <c r="A856" t="s">
        <v>889</v>
      </c>
      <c r="B856" t="s">
        <v>890</v>
      </c>
      <c r="C856">
        <v>343</v>
      </c>
      <c r="D856">
        <v>115</v>
      </c>
      <c r="E856">
        <v>18</v>
      </c>
      <c r="F856">
        <v>1</v>
      </c>
      <c r="G856">
        <v>1040</v>
      </c>
      <c r="H856">
        <v>421079</v>
      </c>
    </row>
    <row r="857" spans="1:8">
      <c r="A857" t="s">
        <v>895</v>
      </c>
      <c r="B857" t="s">
        <v>890</v>
      </c>
      <c r="C857">
        <v>344</v>
      </c>
      <c r="D857">
        <v>115</v>
      </c>
      <c r="E857">
        <v>19</v>
      </c>
      <c r="F857">
        <v>1</v>
      </c>
      <c r="G857">
        <v>1913</v>
      </c>
      <c r="H857">
        <v>423117</v>
      </c>
    </row>
    <row r="858" spans="1:8">
      <c r="A858" t="s">
        <v>895</v>
      </c>
      <c r="B858" t="s">
        <v>891</v>
      </c>
      <c r="C858">
        <v>345</v>
      </c>
      <c r="D858">
        <v>115</v>
      </c>
      <c r="E858">
        <v>19</v>
      </c>
      <c r="F858">
        <v>1</v>
      </c>
      <c r="G858">
        <v>263</v>
      </c>
      <c r="H858">
        <v>423405</v>
      </c>
    </row>
    <row r="859" spans="1:8">
      <c r="A859" t="s">
        <v>889</v>
      </c>
      <c r="B859" t="s">
        <v>890</v>
      </c>
      <c r="C859">
        <v>346</v>
      </c>
      <c r="D859">
        <v>116</v>
      </c>
      <c r="E859">
        <v>19</v>
      </c>
      <c r="F859">
        <v>1</v>
      </c>
      <c r="G859">
        <v>796</v>
      </c>
      <c r="H859">
        <v>425792</v>
      </c>
    </row>
    <row r="860" spans="1:8">
      <c r="A860" t="s">
        <v>889</v>
      </c>
      <c r="B860" t="s">
        <v>890</v>
      </c>
      <c r="C860">
        <v>347</v>
      </c>
      <c r="D860">
        <v>116</v>
      </c>
      <c r="E860">
        <v>19</v>
      </c>
      <c r="F860">
        <v>1</v>
      </c>
      <c r="G860">
        <v>724</v>
      </c>
      <c r="H860">
        <v>426521</v>
      </c>
    </row>
    <row r="861" spans="1:8">
      <c r="A861" t="s">
        <v>894</v>
      </c>
      <c r="B861" t="s">
        <v>892</v>
      </c>
      <c r="C861">
        <v>348</v>
      </c>
      <c r="D861">
        <v>116</v>
      </c>
      <c r="E861">
        <v>19</v>
      </c>
      <c r="F861">
        <v>1</v>
      </c>
      <c r="G861">
        <v>398</v>
      </c>
      <c r="H861">
        <v>426944</v>
      </c>
    </row>
    <row r="862" spans="1:8">
      <c r="A862" t="s">
        <v>889</v>
      </c>
      <c r="B862" t="s">
        <v>890</v>
      </c>
      <c r="C862">
        <v>349</v>
      </c>
      <c r="D862">
        <v>117</v>
      </c>
      <c r="E862">
        <v>19</v>
      </c>
      <c r="F862">
        <v>1</v>
      </c>
      <c r="G862">
        <v>911</v>
      </c>
      <c r="H862">
        <v>429191</v>
      </c>
    </row>
    <row r="863" spans="1:8">
      <c r="A863" t="s">
        <v>889</v>
      </c>
      <c r="B863" t="s">
        <v>892</v>
      </c>
      <c r="C863">
        <v>350</v>
      </c>
      <c r="D863">
        <v>117</v>
      </c>
      <c r="E863">
        <v>19</v>
      </c>
      <c r="F863">
        <v>1</v>
      </c>
      <c r="G863">
        <v>263</v>
      </c>
      <c r="H863">
        <v>429339</v>
      </c>
    </row>
    <row r="864" spans="1:8">
      <c r="A864" t="s">
        <v>893</v>
      </c>
      <c r="B864" t="s">
        <v>891</v>
      </c>
      <c r="C864">
        <v>351</v>
      </c>
      <c r="D864">
        <v>117</v>
      </c>
      <c r="E864">
        <v>19</v>
      </c>
      <c r="F864">
        <v>1</v>
      </c>
      <c r="G864">
        <v>263</v>
      </c>
      <c r="H864">
        <v>429727</v>
      </c>
    </row>
    <row r="865" spans="1:8">
      <c r="A865" t="s">
        <v>889</v>
      </c>
      <c r="B865" t="s">
        <v>890</v>
      </c>
      <c r="C865">
        <v>352</v>
      </c>
      <c r="D865">
        <v>118</v>
      </c>
      <c r="E865">
        <v>19</v>
      </c>
      <c r="F865">
        <v>1</v>
      </c>
      <c r="G865">
        <v>828</v>
      </c>
      <c r="H865">
        <v>432396</v>
      </c>
    </row>
    <row r="866" spans="1:8">
      <c r="A866" t="s">
        <v>894</v>
      </c>
      <c r="B866" t="s">
        <v>890</v>
      </c>
      <c r="C866">
        <v>353</v>
      </c>
      <c r="D866">
        <v>118</v>
      </c>
      <c r="E866">
        <v>19</v>
      </c>
      <c r="F866">
        <v>1</v>
      </c>
      <c r="G866">
        <v>844</v>
      </c>
      <c r="H866">
        <v>433435</v>
      </c>
    </row>
    <row r="867" spans="1:8">
      <c r="A867" t="s">
        <v>889</v>
      </c>
      <c r="B867" t="s">
        <v>890</v>
      </c>
      <c r="C867">
        <v>354</v>
      </c>
      <c r="D867">
        <v>118</v>
      </c>
      <c r="E867">
        <v>19</v>
      </c>
      <c r="F867">
        <v>1</v>
      </c>
      <c r="G867">
        <v>823</v>
      </c>
      <c r="H867">
        <v>434143</v>
      </c>
    </row>
    <row r="868" spans="1:8">
      <c r="A868" t="s">
        <v>889</v>
      </c>
      <c r="B868" t="s">
        <v>891</v>
      </c>
      <c r="C868">
        <v>355</v>
      </c>
      <c r="D868">
        <v>119</v>
      </c>
      <c r="E868">
        <v>19</v>
      </c>
      <c r="F868">
        <v>1</v>
      </c>
      <c r="G868">
        <v>291</v>
      </c>
      <c r="H868">
        <v>435655</v>
      </c>
    </row>
    <row r="869" spans="1:8">
      <c r="A869" t="s">
        <v>894</v>
      </c>
      <c r="B869" t="s">
        <v>892</v>
      </c>
      <c r="C869">
        <v>356</v>
      </c>
      <c r="D869">
        <v>119</v>
      </c>
      <c r="E869">
        <v>19</v>
      </c>
      <c r="F869">
        <v>1</v>
      </c>
      <c r="G869">
        <v>238</v>
      </c>
      <c r="H869">
        <v>435918</v>
      </c>
    </row>
    <row r="870" spans="1:8">
      <c r="A870" t="s">
        <v>889</v>
      </c>
      <c r="B870" t="s">
        <v>892</v>
      </c>
      <c r="C870">
        <v>357</v>
      </c>
      <c r="D870">
        <v>119</v>
      </c>
      <c r="E870">
        <v>19</v>
      </c>
      <c r="F870">
        <v>1</v>
      </c>
      <c r="G870">
        <v>263</v>
      </c>
      <c r="H870">
        <v>435106</v>
      </c>
    </row>
    <row r="871" spans="1:8">
      <c r="A871" t="s">
        <v>889</v>
      </c>
      <c r="B871" t="s">
        <v>892</v>
      </c>
      <c r="C871">
        <v>358</v>
      </c>
      <c r="D871">
        <v>120</v>
      </c>
      <c r="E871">
        <v>19</v>
      </c>
      <c r="F871">
        <v>1</v>
      </c>
      <c r="G871">
        <v>423</v>
      </c>
      <c r="H871">
        <v>438735</v>
      </c>
    </row>
    <row r="872" spans="1:8">
      <c r="A872" t="s">
        <v>889</v>
      </c>
      <c r="B872" t="s">
        <v>890</v>
      </c>
      <c r="C872">
        <v>359</v>
      </c>
      <c r="D872">
        <v>120</v>
      </c>
      <c r="E872">
        <v>19</v>
      </c>
      <c r="F872">
        <v>1</v>
      </c>
      <c r="G872">
        <v>663</v>
      </c>
      <c r="H872">
        <v>439283</v>
      </c>
    </row>
    <row r="873" spans="1:8">
      <c r="A873" t="s">
        <v>894</v>
      </c>
      <c r="B873" t="s">
        <v>891</v>
      </c>
      <c r="C873">
        <v>360</v>
      </c>
      <c r="D873">
        <v>120</v>
      </c>
      <c r="E873">
        <v>19</v>
      </c>
      <c r="F873">
        <v>1</v>
      </c>
      <c r="G873">
        <v>263</v>
      </c>
      <c r="H873">
        <v>439571</v>
      </c>
    </row>
    <row r="874" spans="1:8">
      <c r="A874" t="s">
        <v>889</v>
      </c>
      <c r="B874" t="s">
        <v>892</v>
      </c>
      <c r="C874">
        <v>361</v>
      </c>
      <c r="D874">
        <v>121</v>
      </c>
      <c r="E874">
        <v>19</v>
      </c>
      <c r="F874">
        <v>1</v>
      </c>
      <c r="G874">
        <v>398</v>
      </c>
      <c r="H874">
        <v>439875</v>
      </c>
    </row>
    <row r="875" spans="1:8">
      <c r="A875" t="s">
        <v>889</v>
      </c>
      <c r="B875" t="s">
        <v>890</v>
      </c>
      <c r="C875">
        <v>362</v>
      </c>
      <c r="D875">
        <v>121</v>
      </c>
      <c r="E875">
        <v>19</v>
      </c>
      <c r="F875">
        <v>1</v>
      </c>
      <c r="G875">
        <v>636</v>
      </c>
      <c r="H875">
        <v>441156</v>
      </c>
    </row>
    <row r="876" spans="1:8">
      <c r="A876" t="s">
        <v>889</v>
      </c>
      <c r="B876" t="s">
        <v>890</v>
      </c>
      <c r="C876">
        <v>363</v>
      </c>
      <c r="D876">
        <v>121</v>
      </c>
      <c r="E876">
        <v>19</v>
      </c>
      <c r="F876">
        <v>1</v>
      </c>
      <c r="G876">
        <v>854</v>
      </c>
      <c r="H876">
        <v>442790</v>
      </c>
    </row>
    <row r="877" spans="1:8">
      <c r="A877" t="s">
        <v>889</v>
      </c>
      <c r="B877" t="s">
        <v>890</v>
      </c>
      <c r="C877">
        <v>364</v>
      </c>
      <c r="D877">
        <v>122</v>
      </c>
      <c r="E877">
        <v>19</v>
      </c>
      <c r="F877">
        <v>1</v>
      </c>
      <c r="G877">
        <v>751</v>
      </c>
      <c r="H877">
        <v>447917</v>
      </c>
    </row>
    <row r="878" spans="1:8">
      <c r="A878" t="s">
        <v>895</v>
      </c>
      <c r="B878" t="s">
        <v>890</v>
      </c>
      <c r="C878">
        <v>365</v>
      </c>
      <c r="D878">
        <v>122</v>
      </c>
      <c r="E878">
        <v>20</v>
      </c>
      <c r="F878">
        <v>1</v>
      </c>
      <c r="G878">
        <v>1604</v>
      </c>
      <c r="H878">
        <v>449886</v>
      </c>
    </row>
    <row r="879" spans="1:8">
      <c r="A879" t="s">
        <v>895</v>
      </c>
      <c r="B879" t="s">
        <v>891</v>
      </c>
      <c r="C879">
        <v>366</v>
      </c>
      <c r="D879">
        <v>122</v>
      </c>
      <c r="E879">
        <v>20</v>
      </c>
      <c r="F879">
        <v>1</v>
      </c>
      <c r="G879">
        <v>250</v>
      </c>
      <c r="H879">
        <v>450161</v>
      </c>
    </row>
    <row r="880" spans="1:8">
      <c r="A880" t="s">
        <v>889</v>
      </c>
      <c r="B880" t="s">
        <v>892</v>
      </c>
      <c r="C880">
        <v>367</v>
      </c>
      <c r="D880">
        <v>123</v>
      </c>
      <c r="E880">
        <v>20</v>
      </c>
      <c r="F880">
        <v>1</v>
      </c>
      <c r="G880">
        <v>423</v>
      </c>
      <c r="H880">
        <v>451680</v>
      </c>
    </row>
    <row r="881" spans="1:8">
      <c r="A881" t="s">
        <v>889</v>
      </c>
      <c r="B881" t="s">
        <v>891</v>
      </c>
      <c r="C881">
        <v>368</v>
      </c>
      <c r="D881">
        <v>123</v>
      </c>
      <c r="E881">
        <v>20</v>
      </c>
      <c r="F881">
        <v>1</v>
      </c>
      <c r="G881">
        <v>131</v>
      </c>
      <c r="H881">
        <v>451816</v>
      </c>
    </row>
    <row r="882" spans="1:8">
      <c r="A882" t="s">
        <v>894</v>
      </c>
      <c r="B882" t="s">
        <v>890</v>
      </c>
      <c r="C882">
        <v>369</v>
      </c>
      <c r="D882">
        <v>123</v>
      </c>
      <c r="E882">
        <v>20</v>
      </c>
      <c r="F882">
        <v>1</v>
      </c>
      <c r="G882">
        <v>786</v>
      </c>
      <c r="H882">
        <v>452627</v>
      </c>
    </row>
    <row r="883" spans="1:8">
      <c r="A883" t="s">
        <v>889</v>
      </c>
      <c r="B883" t="s">
        <v>891</v>
      </c>
      <c r="C883">
        <v>370</v>
      </c>
      <c r="D883">
        <v>124</v>
      </c>
      <c r="E883">
        <v>20</v>
      </c>
      <c r="F883">
        <v>1</v>
      </c>
      <c r="G883">
        <v>266</v>
      </c>
      <c r="H883">
        <v>453914</v>
      </c>
    </row>
    <row r="884" spans="1:8">
      <c r="A884" t="s">
        <v>889</v>
      </c>
      <c r="B884" t="s">
        <v>890</v>
      </c>
      <c r="C884">
        <v>371</v>
      </c>
      <c r="D884">
        <v>124</v>
      </c>
      <c r="E884">
        <v>20</v>
      </c>
      <c r="F884">
        <v>1</v>
      </c>
      <c r="G884">
        <v>696</v>
      </c>
      <c r="H884">
        <v>454635</v>
      </c>
    </row>
    <row r="885" spans="1:8">
      <c r="A885" t="s">
        <v>893</v>
      </c>
      <c r="B885" t="s">
        <v>891</v>
      </c>
      <c r="C885">
        <v>372</v>
      </c>
      <c r="D885">
        <v>124</v>
      </c>
      <c r="E885">
        <v>20</v>
      </c>
      <c r="F885">
        <v>1</v>
      </c>
      <c r="G885">
        <v>131</v>
      </c>
      <c r="H885">
        <v>454791</v>
      </c>
    </row>
    <row r="886" spans="1:8">
      <c r="A886" t="s">
        <v>889</v>
      </c>
      <c r="B886" t="s">
        <v>891</v>
      </c>
      <c r="C886">
        <v>373</v>
      </c>
      <c r="D886">
        <v>125</v>
      </c>
      <c r="E886">
        <v>20</v>
      </c>
      <c r="F886">
        <v>1</v>
      </c>
      <c r="G886">
        <v>271</v>
      </c>
      <c r="H886">
        <v>455983</v>
      </c>
    </row>
    <row r="887" spans="1:8">
      <c r="A887" t="s">
        <v>894</v>
      </c>
      <c r="B887" t="s">
        <v>890</v>
      </c>
      <c r="C887">
        <v>374</v>
      </c>
      <c r="D887">
        <v>125</v>
      </c>
      <c r="E887">
        <v>20</v>
      </c>
      <c r="F887">
        <v>1</v>
      </c>
      <c r="G887">
        <v>818</v>
      </c>
      <c r="H887">
        <v>457051</v>
      </c>
    </row>
    <row r="888" spans="1:8">
      <c r="A888" t="s">
        <v>889</v>
      </c>
      <c r="B888" t="s">
        <v>890</v>
      </c>
      <c r="C888">
        <v>375</v>
      </c>
      <c r="D888">
        <v>125</v>
      </c>
      <c r="E888">
        <v>20</v>
      </c>
      <c r="F888">
        <v>1</v>
      </c>
      <c r="G888">
        <v>694</v>
      </c>
      <c r="H888">
        <v>457630</v>
      </c>
    </row>
    <row r="889" spans="1:8">
      <c r="A889" t="s">
        <v>889</v>
      </c>
      <c r="B889" t="s">
        <v>892</v>
      </c>
      <c r="C889">
        <v>376</v>
      </c>
      <c r="D889">
        <v>126</v>
      </c>
      <c r="E889">
        <v>20</v>
      </c>
      <c r="F889">
        <v>1</v>
      </c>
      <c r="G889">
        <v>423</v>
      </c>
      <c r="H889">
        <v>459249</v>
      </c>
    </row>
    <row r="890" spans="1:8">
      <c r="A890" t="s">
        <v>894</v>
      </c>
      <c r="B890" t="s">
        <v>892</v>
      </c>
      <c r="C890">
        <v>377</v>
      </c>
      <c r="D890">
        <v>126</v>
      </c>
      <c r="E890">
        <v>20</v>
      </c>
      <c r="F890">
        <v>1</v>
      </c>
      <c r="G890">
        <v>423</v>
      </c>
      <c r="H890">
        <v>459722</v>
      </c>
    </row>
    <row r="891" spans="1:8">
      <c r="A891" t="s">
        <v>889</v>
      </c>
      <c r="B891" t="s">
        <v>890</v>
      </c>
      <c r="C891">
        <v>378</v>
      </c>
      <c r="D891">
        <v>126</v>
      </c>
      <c r="E891">
        <v>20</v>
      </c>
      <c r="F891">
        <v>1</v>
      </c>
      <c r="G891">
        <v>751</v>
      </c>
      <c r="H891">
        <v>460048</v>
      </c>
    </row>
    <row r="892" spans="1:8">
      <c r="A892" t="s">
        <v>889</v>
      </c>
      <c r="B892" t="s">
        <v>891</v>
      </c>
      <c r="C892">
        <v>379</v>
      </c>
      <c r="D892">
        <v>127</v>
      </c>
      <c r="E892">
        <v>20</v>
      </c>
      <c r="F892">
        <v>1</v>
      </c>
      <c r="G892">
        <v>291</v>
      </c>
      <c r="H892">
        <v>461310</v>
      </c>
    </row>
    <row r="893" spans="1:8">
      <c r="A893" t="s">
        <v>889</v>
      </c>
      <c r="B893" t="s">
        <v>892</v>
      </c>
      <c r="C893">
        <v>380</v>
      </c>
      <c r="D893">
        <v>127</v>
      </c>
      <c r="E893">
        <v>20</v>
      </c>
      <c r="F893">
        <v>1</v>
      </c>
      <c r="G893">
        <v>238</v>
      </c>
      <c r="H893">
        <v>461553</v>
      </c>
    </row>
    <row r="894" spans="1:8">
      <c r="A894" t="s">
        <v>894</v>
      </c>
      <c r="B894" t="s">
        <v>890</v>
      </c>
      <c r="C894">
        <v>381</v>
      </c>
      <c r="D894">
        <v>127</v>
      </c>
      <c r="E894">
        <v>20</v>
      </c>
      <c r="F894">
        <v>1</v>
      </c>
      <c r="G894">
        <v>835</v>
      </c>
      <c r="H894">
        <v>462813</v>
      </c>
    </row>
    <row r="895" spans="1:8">
      <c r="A895" t="s">
        <v>889</v>
      </c>
      <c r="B895" t="s">
        <v>890</v>
      </c>
      <c r="C895">
        <v>382</v>
      </c>
      <c r="D895">
        <v>128</v>
      </c>
      <c r="E895">
        <v>20</v>
      </c>
      <c r="F895">
        <v>1</v>
      </c>
      <c r="G895">
        <v>884</v>
      </c>
      <c r="H895">
        <v>465208</v>
      </c>
    </row>
    <row r="896" spans="1:8">
      <c r="A896" t="s">
        <v>889</v>
      </c>
      <c r="B896" t="s">
        <v>891</v>
      </c>
      <c r="C896">
        <v>383</v>
      </c>
      <c r="D896">
        <v>128</v>
      </c>
      <c r="E896">
        <v>20</v>
      </c>
      <c r="F896">
        <v>1</v>
      </c>
      <c r="G896">
        <v>131</v>
      </c>
      <c r="H896">
        <v>464384</v>
      </c>
    </row>
    <row r="897" spans="1:8">
      <c r="A897" t="s">
        <v>889</v>
      </c>
      <c r="B897" t="s">
        <v>892</v>
      </c>
      <c r="C897">
        <v>384</v>
      </c>
      <c r="D897">
        <v>128</v>
      </c>
      <c r="E897">
        <v>20</v>
      </c>
      <c r="F897">
        <v>1</v>
      </c>
      <c r="G897">
        <v>423</v>
      </c>
      <c r="H897">
        <v>464862</v>
      </c>
    </row>
    <row r="898" spans="1:8">
      <c r="A898" t="s">
        <v>894</v>
      </c>
      <c r="B898" t="s">
        <v>891</v>
      </c>
      <c r="C898">
        <v>385</v>
      </c>
      <c r="D898">
        <v>129</v>
      </c>
      <c r="E898">
        <v>20</v>
      </c>
      <c r="F898">
        <v>1</v>
      </c>
      <c r="G898">
        <v>138</v>
      </c>
      <c r="H898">
        <v>466366</v>
      </c>
    </row>
    <row r="899" spans="1:8">
      <c r="A899" t="s">
        <v>889</v>
      </c>
      <c r="B899" t="s">
        <v>890</v>
      </c>
      <c r="C899">
        <v>386</v>
      </c>
      <c r="D899">
        <v>129</v>
      </c>
      <c r="E899">
        <v>20</v>
      </c>
      <c r="F899">
        <v>1</v>
      </c>
      <c r="G899">
        <v>696</v>
      </c>
      <c r="H899">
        <v>467447</v>
      </c>
    </row>
    <row r="900" spans="1:8">
      <c r="A900" t="s">
        <v>889</v>
      </c>
      <c r="B900" t="s">
        <v>892</v>
      </c>
      <c r="C900">
        <v>387</v>
      </c>
      <c r="D900">
        <v>129</v>
      </c>
      <c r="E900">
        <v>21</v>
      </c>
      <c r="F900">
        <v>1</v>
      </c>
      <c r="G900">
        <v>423</v>
      </c>
      <c r="H900">
        <v>467925</v>
      </c>
    </row>
    <row r="901" spans="1:8">
      <c r="A901" t="s">
        <v>889</v>
      </c>
      <c r="B901" t="s">
        <v>890</v>
      </c>
      <c r="C901">
        <v>388</v>
      </c>
      <c r="D901">
        <v>130</v>
      </c>
      <c r="E901">
        <v>21</v>
      </c>
      <c r="F901">
        <v>1</v>
      </c>
      <c r="G901">
        <v>694</v>
      </c>
      <c r="H901">
        <v>469420</v>
      </c>
    </row>
    <row r="902" spans="1:8">
      <c r="A902" t="s">
        <v>894</v>
      </c>
      <c r="B902" t="s">
        <v>891</v>
      </c>
      <c r="C902">
        <v>389</v>
      </c>
      <c r="D902">
        <v>130</v>
      </c>
      <c r="E902">
        <v>21</v>
      </c>
      <c r="F902">
        <v>1</v>
      </c>
      <c r="G902">
        <v>106</v>
      </c>
      <c r="H902">
        <v>469651</v>
      </c>
    </row>
    <row r="903" spans="1:8">
      <c r="A903" t="s">
        <v>889</v>
      </c>
      <c r="B903" t="s">
        <v>892</v>
      </c>
      <c r="C903">
        <v>390</v>
      </c>
      <c r="D903">
        <v>130</v>
      </c>
      <c r="E903">
        <v>21</v>
      </c>
      <c r="F903">
        <v>1</v>
      </c>
      <c r="G903">
        <v>423</v>
      </c>
      <c r="H903">
        <v>471674</v>
      </c>
    </row>
    <row r="904" spans="1:8">
      <c r="A904" t="s">
        <v>889</v>
      </c>
      <c r="B904" t="s">
        <v>890</v>
      </c>
      <c r="C904">
        <v>391</v>
      </c>
      <c r="D904">
        <v>131</v>
      </c>
      <c r="E904">
        <v>21</v>
      </c>
      <c r="F904">
        <v>1</v>
      </c>
      <c r="G904">
        <v>668</v>
      </c>
      <c r="H904">
        <v>473618</v>
      </c>
    </row>
    <row r="905" spans="1:8">
      <c r="A905" t="s">
        <v>893</v>
      </c>
      <c r="B905" t="s">
        <v>890</v>
      </c>
      <c r="C905">
        <v>392</v>
      </c>
      <c r="D905">
        <v>131</v>
      </c>
      <c r="E905">
        <v>21</v>
      </c>
      <c r="F905">
        <v>1</v>
      </c>
      <c r="G905">
        <v>784</v>
      </c>
      <c r="H905">
        <v>474527</v>
      </c>
    </row>
    <row r="906" spans="1:8">
      <c r="A906" t="s">
        <v>889</v>
      </c>
      <c r="B906" t="s">
        <v>891</v>
      </c>
      <c r="C906">
        <v>393</v>
      </c>
      <c r="D906">
        <v>131</v>
      </c>
      <c r="E906">
        <v>21</v>
      </c>
      <c r="F906">
        <v>1</v>
      </c>
      <c r="G906">
        <v>266</v>
      </c>
      <c r="H906">
        <v>474848</v>
      </c>
    </row>
    <row r="907" spans="1:8">
      <c r="A907" t="s">
        <v>894</v>
      </c>
      <c r="B907" t="s">
        <v>890</v>
      </c>
      <c r="C907">
        <v>394</v>
      </c>
      <c r="D907">
        <v>132</v>
      </c>
      <c r="E907">
        <v>21</v>
      </c>
      <c r="F907">
        <v>1</v>
      </c>
      <c r="G907">
        <v>978</v>
      </c>
      <c r="H907">
        <v>477117</v>
      </c>
    </row>
    <row r="908" spans="1:8">
      <c r="A908" t="s">
        <v>889</v>
      </c>
      <c r="B908" t="s">
        <v>890</v>
      </c>
      <c r="C908">
        <v>395</v>
      </c>
      <c r="D908">
        <v>132</v>
      </c>
      <c r="E908">
        <v>21</v>
      </c>
      <c r="F908">
        <v>1</v>
      </c>
      <c r="G908">
        <v>694</v>
      </c>
      <c r="H908">
        <v>477916</v>
      </c>
    </row>
    <row r="909" spans="1:8">
      <c r="A909" t="s">
        <v>889</v>
      </c>
      <c r="B909" t="s">
        <v>890</v>
      </c>
      <c r="C909">
        <v>396</v>
      </c>
      <c r="D909">
        <v>132</v>
      </c>
      <c r="E909">
        <v>21</v>
      </c>
      <c r="F909">
        <v>1</v>
      </c>
      <c r="G909">
        <v>911</v>
      </c>
      <c r="H909">
        <v>478882</v>
      </c>
    </row>
    <row r="910" spans="1:8">
      <c r="A910" t="s">
        <v>894</v>
      </c>
      <c r="B910" t="s">
        <v>890</v>
      </c>
      <c r="C910">
        <v>397</v>
      </c>
      <c r="D910">
        <v>133</v>
      </c>
      <c r="E910">
        <v>21</v>
      </c>
      <c r="F910">
        <v>1</v>
      </c>
      <c r="G910">
        <v>1154</v>
      </c>
      <c r="H910">
        <v>481522</v>
      </c>
    </row>
    <row r="911" spans="1:8">
      <c r="A911" t="s">
        <v>889</v>
      </c>
      <c r="B911" t="s">
        <v>890</v>
      </c>
      <c r="C911">
        <v>398</v>
      </c>
      <c r="D911">
        <v>133</v>
      </c>
      <c r="E911">
        <v>21</v>
      </c>
      <c r="F911">
        <v>1</v>
      </c>
      <c r="G911">
        <v>867</v>
      </c>
      <c r="H911">
        <v>482374</v>
      </c>
    </row>
    <row r="912" spans="1:8">
      <c r="A912" t="s">
        <v>893</v>
      </c>
      <c r="B912" t="s">
        <v>890</v>
      </c>
      <c r="C912">
        <v>399</v>
      </c>
      <c r="D912">
        <v>133</v>
      </c>
      <c r="E912">
        <v>21</v>
      </c>
      <c r="F912">
        <v>1</v>
      </c>
      <c r="G912">
        <v>1105</v>
      </c>
      <c r="H912">
        <v>483504</v>
      </c>
    </row>
    <row r="913" spans="1:8">
      <c r="A913" t="s">
        <v>889</v>
      </c>
      <c r="B913" t="s">
        <v>891</v>
      </c>
      <c r="C913">
        <v>400</v>
      </c>
      <c r="D913">
        <v>134</v>
      </c>
      <c r="E913">
        <v>21</v>
      </c>
      <c r="F913">
        <v>1</v>
      </c>
      <c r="G913">
        <v>266</v>
      </c>
      <c r="H913">
        <v>484641</v>
      </c>
    </row>
    <row r="914" spans="1:8">
      <c r="A914" t="s">
        <v>889</v>
      </c>
      <c r="B914" t="s">
        <v>892</v>
      </c>
      <c r="C914">
        <v>401</v>
      </c>
      <c r="D914">
        <v>134</v>
      </c>
      <c r="E914">
        <v>21</v>
      </c>
      <c r="F914">
        <v>1</v>
      </c>
      <c r="G914">
        <v>263</v>
      </c>
      <c r="H914">
        <v>484914</v>
      </c>
    </row>
    <row r="915" spans="1:8">
      <c r="A915" t="s">
        <v>894</v>
      </c>
      <c r="B915" t="s">
        <v>890</v>
      </c>
      <c r="C915">
        <v>402</v>
      </c>
      <c r="D915">
        <v>134</v>
      </c>
      <c r="E915">
        <v>21</v>
      </c>
      <c r="F915">
        <v>1</v>
      </c>
      <c r="G915">
        <v>1196</v>
      </c>
      <c r="H915">
        <v>486695</v>
      </c>
    </row>
    <row r="916" spans="1:8">
      <c r="A916" t="s">
        <v>889</v>
      </c>
      <c r="B916" t="s">
        <v>891</v>
      </c>
      <c r="C916">
        <v>403</v>
      </c>
      <c r="D916">
        <v>135</v>
      </c>
      <c r="E916">
        <v>21</v>
      </c>
      <c r="F916">
        <v>1</v>
      </c>
      <c r="G916">
        <v>271</v>
      </c>
      <c r="H916">
        <v>486952</v>
      </c>
    </row>
    <row r="917" spans="1:8">
      <c r="A917" t="s">
        <v>889</v>
      </c>
      <c r="B917" t="s">
        <v>892</v>
      </c>
      <c r="C917">
        <v>404</v>
      </c>
      <c r="D917">
        <v>135</v>
      </c>
      <c r="E917">
        <v>21</v>
      </c>
      <c r="F917">
        <v>1</v>
      </c>
      <c r="G917">
        <v>238</v>
      </c>
      <c r="H917">
        <v>487075</v>
      </c>
    </row>
    <row r="918" spans="1:8">
      <c r="A918" t="s">
        <v>893</v>
      </c>
      <c r="B918" t="s">
        <v>890</v>
      </c>
      <c r="C918">
        <v>405</v>
      </c>
      <c r="D918">
        <v>135</v>
      </c>
      <c r="E918">
        <v>21</v>
      </c>
      <c r="F918">
        <v>1</v>
      </c>
      <c r="G918">
        <v>1896</v>
      </c>
      <c r="H918">
        <v>489216</v>
      </c>
    </row>
    <row r="919" spans="1:8">
      <c r="A919" t="s">
        <v>889</v>
      </c>
      <c r="B919" t="s">
        <v>890</v>
      </c>
      <c r="C919">
        <v>406</v>
      </c>
      <c r="D919">
        <v>136</v>
      </c>
      <c r="E919">
        <v>21</v>
      </c>
      <c r="F919">
        <v>1</v>
      </c>
      <c r="G919">
        <v>888</v>
      </c>
      <c r="H919">
        <v>491720</v>
      </c>
    </row>
    <row r="920" spans="1:8">
      <c r="A920" t="s">
        <v>894</v>
      </c>
      <c r="B920" t="s">
        <v>890</v>
      </c>
      <c r="C920">
        <v>407</v>
      </c>
      <c r="D920">
        <v>136</v>
      </c>
      <c r="E920">
        <v>21</v>
      </c>
      <c r="F920">
        <v>1</v>
      </c>
      <c r="G920">
        <v>3551</v>
      </c>
      <c r="H920">
        <v>495856</v>
      </c>
    </row>
    <row r="921" spans="1:8">
      <c r="A921" t="s">
        <v>889</v>
      </c>
      <c r="B921" t="s">
        <v>890</v>
      </c>
      <c r="C921">
        <v>408</v>
      </c>
      <c r="D921">
        <v>136</v>
      </c>
      <c r="E921">
        <v>21</v>
      </c>
      <c r="F921">
        <v>1</v>
      </c>
      <c r="G921">
        <v>809</v>
      </c>
      <c r="H921">
        <v>498820</v>
      </c>
    </row>
    <row r="922" spans="1:8">
      <c r="A922" t="s">
        <v>895</v>
      </c>
      <c r="B922" t="s">
        <v>890</v>
      </c>
      <c r="C922">
        <v>409</v>
      </c>
      <c r="D922">
        <v>137</v>
      </c>
      <c r="E922">
        <v>22</v>
      </c>
      <c r="F922">
        <v>1</v>
      </c>
      <c r="G922">
        <v>1670</v>
      </c>
      <c r="H922">
        <v>501681</v>
      </c>
    </row>
    <row r="923" spans="1:8">
      <c r="A923" t="s">
        <v>895</v>
      </c>
      <c r="B923" t="s">
        <v>891</v>
      </c>
      <c r="C923">
        <v>410</v>
      </c>
      <c r="D923">
        <v>137</v>
      </c>
      <c r="E923">
        <v>22</v>
      </c>
      <c r="F923">
        <v>1</v>
      </c>
      <c r="G923">
        <v>263</v>
      </c>
      <c r="H923">
        <v>502069</v>
      </c>
    </row>
    <row r="924" spans="1:8">
      <c r="A924" t="s">
        <v>889</v>
      </c>
      <c r="B924" t="s">
        <v>891</v>
      </c>
      <c r="C924">
        <v>411</v>
      </c>
      <c r="D924">
        <v>137</v>
      </c>
      <c r="E924">
        <v>22</v>
      </c>
      <c r="F924">
        <v>1</v>
      </c>
      <c r="G924">
        <v>266</v>
      </c>
      <c r="H924">
        <v>502390</v>
      </c>
    </row>
    <row r="925" spans="1:8">
      <c r="A925" t="s">
        <v>889</v>
      </c>
      <c r="B925" t="s">
        <v>890</v>
      </c>
      <c r="C925">
        <v>412</v>
      </c>
      <c r="D925">
        <v>138</v>
      </c>
      <c r="E925">
        <v>22</v>
      </c>
      <c r="F925">
        <v>1</v>
      </c>
      <c r="G925">
        <v>668</v>
      </c>
      <c r="H925">
        <v>504079</v>
      </c>
    </row>
    <row r="926" spans="1:8">
      <c r="A926" t="s">
        <v>894</v>
      </c>
      <c r="B926" t="s">
        <v>890</v>
      </c>
      <c r="C926">
        <v>413</v>
      </c>
      <c r="D926">
        <v>138</v>
      </c>
      <c r="E926">
        <v>22</v>
      </c>
      <c r="F926">
        <v>1</v>
      </c>
      <c r="G926">
        <v>844</v>
      </c>
      <c r="H926">
        <v>504948</v>
      </c>
    </row>
    <row r="927" spans="1:8">
      <c r="A927" t="s">
        <v>889</v>
      </c>
      <c r="B927" t="s">
        <v>891</v>
      </c>
      <c r="C927">
        <v>414</v>
      </c>
      <c r="D927">
        <v>138</v>
      </c>
      <c r="E927">
        <v>22</v>
      </c>
      <c r="F927">
        <v>1</v>
      </c>
      <c r="G927">
        <v>291</v>
      </c>
      <c r="H927">
        <v>505294</v>
      </c>
    </row>
    <row r="928" spans="1:8">
      <c r="A928" t="s">
        <v>889</v>
      </c>
      <c r="B928" t="s">
        <v>891</v>
      </c>
      <c r="C928">
        <v>415</v>
      </c>
      <c r="D928">
        <v>139</v>
      </c>
      <c r="E928">
        <v>22</v>
      </c>
      <c r="F928">
        <v>1</v>
      </c>
      <c r="G928">
        <v>131</v>
      </c>
      <c r="H928">
        <v>506426</v>
      </c>
    </row>
    <row r="929" spans="1:8">
      <c r="A929" t="s">
        <v>893</v>
      </c>
      <c r="B929" t="s">
        <v>891</v>
      </c>
      <c r="C929">
        <v>416</v>
      </c>
      <c r="D929">
        <v>139</v>
      </c>
      <c r="E929">
        <v>22</v>
      </c>
      <c r="F929">
        <v>1</v>
      </c>
      <c r="G929">
        <v>263</v>
      </c>
      <c r="H929">
        <v>506739</v>
      </c>
    </row>
    <row r="930" spans="1:8">
      <c r="A930" t="s">
        <v>889</v>
      </c>
      <c r="B930" t="s">
        <v>890</v>
      </c>
      <c r="C930">
        <v>417</v>
      </c>
      <c r="D930">
        <v>139</v>
      </c>
      <c r="E930">
        <v>22</v>
      </c>
      <c r="F930">
        <v>1</v>
      </c>
      <c r="G930">
        <v>796</v>
      </c>
      <c r="H930">
        <v>508230</v>
      </c>
    </row>
    <row r="931" spans="1:8">
      <c r="A931" t="s">
        <v>894</v>
      </c>
      <c r="B931" t="s">
        <v>890</v>
      </c>
      <c r="C931">
        <v>418</v>
      </c>
      <c r="D931">
        <v>140</v>
      </c>
      <c r="E931">
        <v>22</v>
      </c>
      <c r="F931">
        <v>1</v>
      </c>
      <c r="G931">
        <v>1004</v>
      </c>
      <c r="H931">
        <v>511190</v>
      </c>
    </row>
    <row r="932" spans="1:8">
      <c r="A932" t="s">
        <v>889</v>
      </c>
      <c r="B932" t="s">
        <v>890</v>
      </c>
      <c r="C932">
        <v>419</v>
      </c>
      <c r="D932">
        <v>140</v>
      </c>
      <c r="E932">
        <v>22</v>
      </c>
      <c r="F932">
        <v>1</v>
      </c>
      <c r="G932">
        <v>789</v>
      </c>
      <c r="H932">
        <v>511864</v>
      </c>
    </row>
    <row r="933" spans="1:8">
      <c r="A933" t="s">
        <v>889</v>
      </c>
      <c r="B933" t="s">
        <v>891</v>
      </c>
      <c r="C933">
        <v>420</v>
      </c>
      <c r="D933">
        <v>140</v>
      </c>
      <c r="E933">
        <v>22</v>
      </c>
      <c r="F933">
        <v>1</v>
      </c>
      <c r="G933">
        <v>291</v>
      </c>
      <c r="H933">
        <v>512210</v>
      </c>
    </row>
    <row r="934" spans="1:8">
      <c r="A934" t="s">
        <v>894</v>
      </c>
      <c r="B934" t="s">
        <v>890</v>
      </c>
      <c r="C934">
        <v>421</v>
      </c>
      <c r="D934">
        <v>141</v>
      </c>
      <c r="E934">
        <v>22</v>
      </c>
      <c r="F934">
        <v>1</v>
      </c>
      <c r="G934">
        <v>946</v>
      </c>
      <c r="H934">
        <v>514327</v>
      </c>
    </row>
    <row r="935" spans="1:8">
      <c r="A935" t="s">
        <v>889</v>
      </c>
      <c r="B935" t="s">
        <v>891</v>
      </c>
      <c r="C935">
        <v>422</v>
      </c>
      <c r="D935">
        <v>141</v>
      </c>
      <c r="E935">
        <v>22</v>
      </c>
      <c r="F935">
        <v>1</v>
      </c>
      <c r="G935">
        <v>131</v>
      </c>
      <c r="H935">
        <v>513363</v>
      </c>
    </row>
    <row r="936" spans="1:8">
      <c r="A936" t="s">
        <v>889</v>
      </c>
      <c r="B936" t="s">
        <v>892</v>
      </c>
      <c r="C936">
        <v>423</v>
      </c>
      <c r="D936">
        <v>141</v>
      </c>
      <c r="E936">
        <v>22</v>
      </c>
      <c r="F936">
        <v>1</v>
      </c>
      <c r="G936">
        <v>423</v>
      </c>
      <c r="H936">
        <v>513841</v>
      </c>
    </row>
    <row r="937" spans="1:8">
      <c r="A937" t="s">
        <v>889</v>
      </c>
      <c r="B937" t="s">
        <v>891</v>
      </c>
      <c r="C937">
        <v>424</v>
      </c>
      <c r="D937">
        <v>142</v>
      </c>
      <c r="E937">
        <v>22</v>
      </c>
      <c r="F937">
        <v>1</v>
      </c>
      <c r="G937">
        <v>131</v>
      </c>
      <c r="H937">
        <v>514848</v>
      </c>
    </row>
    <row r="938" spans="1:8">
      <c r="A938" t="s">
        <v>894</v>
      </c>
      <c r="B938" t="s">
        <v>891</v>
      </c>
      <c r="C938">
        <v>425</v>
      </c>
      <c r="D938">
        <v>142</v>
      </c>
      <c r="E938">
        <v>22</v>
      </c>
      <c r="F938">
        <v>1</v>
      </c>
      <c r="G938">
        <v>266</v>
      </c>
      <c r="H938">
        <v>515239</v>
      </c>
    </row>
    <row r="939" spans="1:8">
      <c r="A939" t="s">
        <v>889</v>
      </c>
      <c r="B939" t="s">
        <v>891</v>
      </c>
      <c r="C939">
        <v>426</v>
      </c>
      <c r="D939">
        <v>142</v>
      </c>
      <c r="E939">
        <v>22</v>
      </c>
      <c r="F939">
        <v>1</v>
      </c>
      <c r="G939">
        <v>291</v>
      </c>
      <c r="H939">
        <v>515705</v>
      </c>
    </row>
    <row r="940" spans="1:8">
      <c r="A940" t="s">
        <v>889</v>
      </c>
      <c r="B940" t="s">
        <v>892</v>
      </c>
      <c r="C940">
        <v>427</v>
      </c>
      <c r="D940">
        <v>143</v>
      </c>
      <c r="E940">
        <v>22</v>
      </c>
      <c r="F940">
        <v>1</v>
      </c>
      <c r="G940">
        <v>276</v>
      </c>
      <c r="H940">
        <v>515922</v>
      </c>
    </row>
    <row r="941" spans="1:8">
      <c r="A941" t="s">
        <v>889</v>
      </c>
      <c r="B941" t="s">
        <v>891</v>
      </c>
      <c r="C941">
        <v>428</v>
      </c>
      <c r="D941">
        <v>143</v>
      </c>
      <c r="E941">
        <v>22</v>
      </c>
      <c r="F941">
        <v>1</v>
      </c>
      <c r="G941">
        <v>271</v>
      </c>
      <c r="H941">
        <v>516548</v>
      </c>
    </row>
    <row r="942" spans="1:8">
      <c r="A942" t="s">
        <v>889</v>
      </c>
      <c r="B942" t="s">
        <v>890</v>
      </c>
      <c r="C942">
        <v>429</v>
      </c>
      <c r="D942">
        <v>143</v>
      </c>
      <c r="E942">
        <v>22</v>
      </c>
      <c r="F942">
        <v>1</v>
      </c>
      <c r="G942">
        <v>636</v>
      </c>
      <c r="H942">
        <v>517284</v>
      </c>
    </row>
    <row r="943" spans="1:8">
      <c r="A943" t="s">
        <v>889</v>
      </c>
      <c r="B943" t="s">
        <v>891</v>
      </c>
      <c r="C943">
        <v>430</v>
      </c>
      <c r="D943">
        <v>144</v>
      </c>
      <c r="E943">
        <v>23</v>
      </c>
      <c r="F943">
        <v>2</v>
      </c>
      <c r="G943">
        <v>258</v>
      </c>
      <c r="H943">
        <v>518538</v>
      </c>
    </row>
    <row r="944" spans="1:8">
      <c r="A944" t="s">
        <v>889</v>
      </c>
      <c r="B944" t="s">
        <v>890</v>
      </c>
      <c r="C944">
        <v>431</v>
      </c>
      <c r="D944">
        <v>144</v>
      </c>
      <c r="E944">
        <v>23</v>
      </c>
      <c r="F944">
        <v>2</v>
      </c>
      <c r="G944">
        <v>563</v>
      </c>
      <c r="H944">
        <v>519706</v>
      </c>
    </row>
    <row r="945" spans="1:8">
      <c r="A945" t="s">
        <v>889</v>
      </c>
      <c r="B945" t="s">
        <v>890</v>
      </c>
      <c r="C945">
        <v>432</v>
      </c>
      <c r="D945">
        <v>144</v>
      </c>
      <c r="E945">
        <v>23</v>
      </c>
      <c r="F945">
        <v>2</v>
      </c>
      <c r="G945">
        <v>784</v>
      </c>
      <c r="H945">
        <v>520695</v>
      </c>
    </row>
    <row r="946" spans="1:8">
      <c r="A946" t="s">
        <v>889</v>
      </c>
      <c r="B946" t="s">
        <v>890</v>
      </c>
      <c r="C946">
        <v>433</v>
      </c>
      <c r="D946">
        <v>145</v>
      </c>
      <c r="E946">
        <v>23</v>
      </c>
      <c r="F946">
        <v>2</v>
      </c>
      <c r="G946">
        <v>698</v>
      </c>
      <c r="H946">
        <v>522464</v>
      </c>
    </row>
    <row r="947" spans="1:8">
      <c r="A947" t="s">
        <v>893</v>
      </c>
      <c r="B947" t="s">
        <v>890</v>
      </c>
      <c r="C947">
        <v>434</v>
      </c>
      <c r="D947">
        <v>145</v>
      </c>
      <c r="E947">
        <v>23</v>
      </c>
      <c r="F947">
        <v>2</v>
      </c>
      <c r="G947">
        <v>937</v>
      </c>
      <c r="H947">
        <v>524001</v>
      </c>
    </row>
    <row r="948" spans="1:8">
      <c r="A948" t="s">
        <v>889</v>
      </c>
      <c r="B948" t="s">
        <v>891</v>
      </c>
      <c r="C948">
        <v>435</v>
      </c>
      <c r="D948">
        <v>145</v>
      </c>
      <c r="E948">
        <v>23</v>
      </c>
      <c r="F948">
        <v>2</v>
      </c>
      <c r="G948">
        <v>232</v>
      </c>
      <c r="H948">
        <v>524268</v>
      </c>
    </row>
    <row r="949" spans="1:8">
      <c r="A949" t="s">
        <v>889</v>
      </c>
      <c r="B949" t="s">
        <v>890</v>
      </c>
      <c r="C949">
        <v>436</v>
      </c>
      <c r="D949">
        <v>146</v>
      </c>
      <c r="E949">
        <v>23</v>
      </c>
      <c r="F949">
        <v>2</v>
      </c>
      <c r="G949">
        <v>620</v>
      </c>
      <c r="H949">
        <v>526224</v>
      </c>
    </row>
    <row r="950" spans="1:8">
      <c r="A950" t="s">
        <v>889</v>
      </c>
      <c r="B950" t="s">
        <v>890</v>
      </c>
      <c r="C950">
        <v>437</v>
      </c>
      <c r="D950">
        <v>146</v>
      </c>
      <c r="E950">
        <v>23</v>
      </c>
      <c r="F950">
        <v>2</v>
      </c>
      <c r="G950">
        <v>785</v>
      </c>
      <c r="H950">
        <v>527214</v>
      </c>
    </row>
    <row r="951" spans="1:8">
      <c r="A951" t="s">
        <v>889</v>
      </c>
      <c r="B951" t="s">
        <v>890</v>
      </c>
      <c r="C951">
        <v>438</v>
      </c>
      <c r="D951">
        <v>146</v>
      </c>
      <c r="E951">
        <v>23</v>
      </c>
      <c r="F951">
        <v>2</v>
      </c>
      <c r="G951">
        <v>666</v>
      </c>
      <c r="H951">
        <v>527745</v>
      </c>
    </row>
    <row r="952" spans="1:8">
      <c r="A952" t="s">
        <v>893</v>
      </c>
      <c r="B952" t="s">
        <v>890</v>
      </c>
      <c r="C952">
        <v>439</v>
      </c>
      <c r="D952">
        <v>147</v>
      </c>
      <c r="E952">
        <v>23</v>
      </c>
      <c r="F952">
        <v>2</v>
      </c>
      <c r="G952">
        <v>1017</v>
      </c>
      <c r="H952">
        <v>530363</v>
      </c>
    </row>
    <row r="953" spans="1:8">
      <c r="A953" t="s">
        <v>889</v>
      </c>
      <c r="B953" t="s">
        <v>890</v>
      </c>
      <c r="C953">
        <v>440</v>
      </c>
      <c r="D953">
        <v>147</v>
      </c>
      <c r="E953">
        <v>23</v>
      </c>
      <c r="F953">
        <v>2</v>
      </c>
      <c r="G953">
        <v>908</v>
      </c>
      <c r="H953">
        <v>530826</v>
      </c>
    </row>
    <row r="954" spans="1:8">
      <c r="A954" t="s">
        <v>889</v>
      </c>
      <c r="B954" t="s">
        <v>890</v>
      </c>
      <c r="C954">
        <v>441</v>
      </c>
      <c r="D954">
        <v>147</v>
      </c>
      <c r="E954">
        <v>23</v>
      </c>
      <c r="F954">
        <v>2</v>
      </c>
      <c r="G954">
        <v>859</v>
      </c>
      <c r="H954">
        <v>531550</v>
      </c>
    </row>
    <row r="955" spans="1:8">
      <c r="A955" t="s">
        <v>889</v>
      </c>
      <c r="B955" t="s">
        <v>890</v>
      </c>
      <c r="C955">
        <v>442</v>
      </c>
      <c r="D955">
        <v>148</v>
      </c>
      <c r="E955">
        <v>23</v>
      </c>
      <c r="F955">
        <v>2</v>
      </c>
      <c r="G955">
        <v>1053</v>
      </c>
      <c r="H955">
        <v>533064</v>
      </c>
    </row>
    <row r="956" spans="1:8">
      <c r="A956" t="s">
        <v>889</v>
      </c>
      <c r="B956" t="s">
        <v>890</v>
      </c>
      <c r="C956">
        <v>443</v>
      </c>
      <c r="D956">
        <v>148</v>
      </c>
      <c r="E956">
        <v>23</v>
      </c>
      <c r="F956">
        <v>2</v>
      </c>
      <c r="G956">
        <v>922</v>
      </c>
      <c r="H956">
        <v>534121</v>
      </c>
    </row>
    <row r="957" spans="1:8">
      <c r="A957" t="s">
        <v>893</v>
      </c>
      <c r="B957" t="s">
        <v>890</v>
      </c>
      <c r="C957">
        <v>444</v>
      </c>
      <c r="D957">
        <v>148</v>
      </c>
      <c r="E957">
        <v>23</v>
      </c>
      <c r="F957">
        <v>2</v>
      </c>
      <c r="G957">
        <v>2093</v>
      </c>
      <c r="H957">
        <v>537104</v>
      </c>
    </row>
    <row r="958" spans="1:8">
      <c r="A958" t="s">
        <v>889</v>
      </c>
      <c r="B958" t="s">
        <v>890</v>
      </c>
      <c r="C958">
        <v>445</v>
      </c>
      <c r="D958">
        <v>149</v>
      </c>
      <c r="E958">
        <v>23</v>
      </c>
      <c r="F958">
        <v>2</v>
      </c>
      <c r="G958">
        <v>1164</v>
      </c>
      <c r="H958">
        <v>540209</v>
      </c>
    </row>
    <row r="959" spans="1:8">
      <c r="A959" t="s">
        <v>889</v>
      </c>
      <c r="B959" t="s">
        <v>890</v>
      </c>
      <c r="C959">
        <v>446</v>
      </c>
      <c r="D959">
        <v>149</v>
      </c>
      <c r="E959">
        <v>23</v>
      </c>
      <c r="F959">
        <v>2</v>
      </c>
      <c r="G959">
        <v>1075</v>
      </c>
      <c r="H959">
        <v>544299</v>
      </c>
    </row>
    <row r="960" spans="1:8">
      <c r="A960" t="s">
        <v>889</v>
      </c>
      <c r="B960" t="s">
        <v>890</v>
      </c>
      <c r="C960">
        <v>447</v>
      </c>
      <c r="D960">
        <v>149</v>
      </c>
      <c r="E960">
        <v>24</v>
      </c>
      <c r="F960">
        <v>1</v>
      </c>
      <c r="G960">
        <v>1374</v>
      </c>
      <c r="H960">
        <v>546133</v>
      </c>
    </row>
    <row r="961" spans="1:8">
      <c r="A961" t="s">
        <v>889</v>
      </c>
      <c r="B961" t="s">
        <v>891</v>
      </c>
      <c r="C961">
        <v>448</v>
      </c>
      <c r="D961">
        <v>150</v>
      </c>
      <c r="E961">
        <v>24</v>
      </c>
      <c r="F961">
        <v>1</v>
      </c>
      <c r="G961">
        <v>111</v>
      </c>
      <c r="H961">
        <v>547200</v>
      </c>
    </row>
    <row r="962" spans="1:8">
      <c r="A962" t="s">
        <v>894</v>
      </c>
      <c r="B962" t="s">
        <v>891</v>
      </c>
      <c r="C962">
        <v>449</v>
      </c>
      <c r="D962">
        <v>150</v>
      </c>
      <c r="E962">
        <v>24</v>
      </c>
      <c r="F962">
        <v>1</v>
      </c>
      <c r="G962">
        <v>138</v>
      </c>
      <c r="H962">
        <v>547463</v>
      </c>
    </row>
    <row r="963" spans="1:8">
      <c r="A963" t="s">
        <v>889</v>
      </c>
      <c r="B963" t="s">
        <v>890</v>
      </c>
      <c r="C963">
        <v>450</v>
      </c>
      <c r="D963">
        <v>150</v>
      </c>
      <c r="E963">
        <v>24</v>
      </c>
      <c r="F963">
        <v>1</v>
      </c>
      <c r="G963">
        <v>796</v>
      </c>
      <c r="H963">
        <v>548454</v>
      </c>
    </row>
    <row r="964" spans="1:8">
      <c r="A964" t="s">
        <v>889</v>
      </c>
      <c r="B964" t="s">
        <v>890</v>
      </c>
      <c r="C964">
        <v>451</v>
      </c>
      <c r="D964">
        <v>151</v>
      </c>
      <c r="E964">
        <v>24</v>
      </c>
      <c r="F964">
        <v>1</v>
      </c>
      <c r="G964">
        <v>694</v>
      </c>
      <c r="H964">
        <v>550049</v>
      </c>
    </row>
    <row r="965" spans="1:8">
      <c r="A965" t="s">
        <v>893</v>
      </c>
      <c r="B965" t="s">
        <v>891</v>
      </c>
      <c r="C965">
        <v>452</v>
      </c>
      <c r="D965">
        <v>151</v>
      </c>
      <c r="E965">
        <v>24</v>
      </c>
      <c r="F965">
        <v>1</v>
      </c>
      <c r="G965">
        <v>291</v>
      </c>
      <c r="H965">
        <v>550625</v>
      </c>
    </row>
    <row r="966" spans="1:8">
      <c r="A966" t="s">
        <v>889</v>
      </c>
      <c r="B966" t="s">
        <v>890</v>
      </c>
      <c r="C966">
        <v>453</v>
      </c>
      <c r="D966">
        <v>151</v>
      </c>
      <c r="E966">
        <v>24</v>
      </c>
      <c r="F966">
        <v>1</v>
      </c>
      <c r="G966">
        <v>823</v>
      </c>
      <c r="H966">
        <v>551503</v>
      </c>
    </row>
    <row r="967" spans="1:8">
      <c r="A967" t="s">
        <v>894</v>
      </c>
      <c r="B967" t="s">
        <v>890</v>
      </c>
      <c r="C967">
        <v>454</v>
      </c>
      <c r="D967">
        <v>152</v>
      </c>
      <c r="E967">
        <v>24</v>
      </c>
      <c r="F967">
        <v>1</v>
      </c>
      <c r="G967">
        <v>1034</v>
      </c>
      <c r="H967">
        <v>553968</v>
      </c>
    </row>
    <row r="968" spans="1:8">
      <c r="A968" t="s">
        <v>889</v>
      </c>
      <c r="B968" t="s">
        <v>890</v>
      </c>
      <c r="C968">
        <v>455</v>
      </c>
      <c r="D968">
        <v>152</v>
      </c>
      <c r="E968">
        <v>24</v>
      </c>
      <c r="F968">
        <v>1</v>
      </c>
      <c r="G968">
        <v>751</v>
      </c>
      <c r="H968">
        <v>554874</v>
      </c>
    </row>
    <row r="969" spans="1:8">
      <c r="A969" t="s">
        <v>889</v>
      </c>
      <c r="B969" t="s">
        <v>890</v>
      </c>
      <c r="C969">
        <v>456</v>
      </c>
      <c r="D969">
        <v>152</v>
      </c>
      <c r="E969">
        <v>24</v>
      </c>
      <c r="F969">
        <v>1</v>
      </c>
      <c r="G969">
        <v>969</v>
      </c>
      <c r="H969">
        <v>555898</v>
      </c>
    </row>
    <row r="970" spans="1:8">
      <c r="A970" t="s">
        <v>894</v>
      </c>
      <c r="B970" t="s">
        <v>891</v>
      </c>
      <c r="C970">
        <v>457</v>
      </c>
      <c r="D970">
        <v>153</v>
      </c>
      <c r="E970">
        <v>24</v>
      </c>
      <c r="F970">
        <v>1</v>
      </c>
      <c r="G970">
        <v>291</v>
      </c>
      <c r="H970">
        <v>557405</v>
      </c>
    </row>
    <row r="971" spans="1:8">
      <c r="A971" t="s">
        <v>889</v>
      </c>
      <c r="B971" t="s">
        <v>890</v>
      </c>
      <c r="C971">
        <v>458</v>
      </c>
      <c r="D971">
        <v>153</v>
      </c>
      <c r="E971">
        <v>24</v>
      </c>
      <c r="F971">
        <v>1</v>
      </c>
      <c r="G971">
        <v>636</v>
      </c>
      <c r="H971">
        <v>557306</v>
      </c>
    </row>
    <row r="972" spans="1:8">
      <c r="A972" t="s">
        <v>889</v>
      </c>
      <c r="B972" t="s">
        <v>891</v>
      </c>
      <c r="C972">
        <v>459</v>
      </c>
      <c r="D972">
        <v>153</v>
      </c>
      <c r="E972">
        <v>24</v>
      </c>
      <c r="F972">
        <v>1</v>
      </c>
      <c r="G972">
        <v>266</v>
      </c>
      <c r="H972">
        <v>557747</v>
      </c>
    </row>
    <row r="973" spans="1:8">
      <c r="A973" t="s">
        <v>889</v>
      </c>
      <c r="B973" t="s">
        <v>891</v>
      </c>
      <c r="C973">
        <v>460</v>
      </c>
      <c r="D973">
        <v>154</v>
      </c>
      <c r="E973">
        <v>24</v>
      </c>
      <c r="F973">
        <v>1</v>
      </c>
      <c r="G973">
        <v>106</v>
      </c>
      <c r="H973">
        <v>558039</v>
      </c>
    </row>
    <row r="974" spans="1:8">
      <c r="A974" t="s">
        <v>889</v>
      </c>
      <c r="B974" t="s">
        <v>891</v>
      </c>
      <c r="C974">
        <v>461</v>
      </c>
      <c r="D974">
        <v>154</v>
      </c>
      <c r="E974">
        <v>24</v>
      </c>
      <c r="F974">
        <v>1</v>
      </c>
      <c r="G974">
        <v>291</v>
      </c>
      <c r="H974">
        <v>558485</v>
      </c>
    </row>
    <row r="975" spans="1:8">
      <c r="A975" t="s">
        <v>889</v>
      </c>
      <c r="B975" t="s">
        <v>890</v>
      </c>
      <c r="C975">
        <v>462</v>
      </c>
      <c r="D975">
        <v>154</v>
      </c>
      <c r="E975">
        <v>24</v>
      </c>
      <c r="F975">
        <v>1</v>
      </c>
      <c r="G975">
        <v>663</v>
      </c>
      <c r="H975">
        <v>559273</v>
      </c>
    </row>
    <row r="976" spans="1:8">
      <c r="A976" t="s">
        <v>889</v>
      </c>
      <c r="B976" t="s">
        <v>890</v>
      </c>
      <c r="C976">
        <v>463</v>
      </c>
      <c r="D976">
        <v>155</v>
      </c>
      <c r="E976">
        <v>24</v>
      </c>
      <c r="F976">
        <v>1</v>
      </c>
      <c r="G976">
        <v>854</v>
      </c>
      <c r="H976">
        <v>561258</v>
      </c>
    </row>
    <row r="977" spans="1:8">
      <c r="A977" t="s">
        <v>889</v>
      </c>
      <c r="B977" t="s">
        <v>891</v>
      </c>
      <c r="C977">
        <v>464</v>
      </c>
      <c r="D977">
        <v>155</v>
      </c>
      <c r="E977">
        <v>24</v>
      </c>
      <c r="F977">
        <v>1</v>
      </c>
      <c r="G977">
        <v>106</v>
      </c>
      <c r="H977">
        <v>563519</v>
      </c>
    </row>
    <row r="978" spans="1:8">
      <c r="A978" t="s">
        <v>889</v>
      </c>
      <c r="B978" t="s">
        <v>890</v>
      </c>
      <c r="C978">
        <v>465</v>
      </c>
      <c r="D978">
        <v>155</v>
      </c>
      <c r="E978">
        <v>25</v>
      </c>
      <c r="F978">
        <v>1</v>
      </c>
      <c r="G978">
        <v>796</v>
      </c>
      <c r="H978">
        <v>564370</v>
      </c>
    </row>
    <row r="979" spans="1:8">
      <c r="A979" t="s">
        <v>889</v>
      </c>
      <c r="B979" t="s">
        <v>890</v>
      </c>
      <c r="C979">
        <v>466</v>
      </c>
      <c r="D979">
        <v>156</v>
      </c>
      <c r="E979">
        <v>25</v>
      </c>
      <c r="F979">
        <v>1</v>
      </c>
      <c r="G979">
        <v>694</v>
      </c>
      <c r="H979">
        <v>565885</v>
      </c>
    </row>
    <row r="980" spans="1:8">
      <c r="A980" t="s">
        <v>894</v>
      </c>
      <c r="B980" t="s">
        <v>892</v>
      </c>
      <c r="C980">
        <v>467</v>
      </c>
      <c r="D980">
        <v>156</v>
      </c>
      <c r="E980">
        <v>25</v>
      </c>
      <c r="F980">
        <v>1</v>
      </c>
      <c r="G980">
        <v>423</v>
      </c>
      <c r="H980">
        <v>566358</v>
      </c>
    </row>
    <row r="981" spans="1:8">
      <c r="A981" t="s">
        <v>889</v>
      </c>
      <c r="B981" t="s">
        <v>890</v>
      </c>
      <c r="C981">
        <v>468</v>
      </c>
      <c r="D981">
        <v>156</v>
      </c>
      <c r="E981">
        <v>25</v>
      </c>
      <c r="F981">
        <v>1</v>
      </c>
      <c r="G981">
        <v>911</v>
      </c>
      <c r="H981">
        <v>567649</v>
      </c>
    </row>
    <row r="982" spans="1:8">
      <c r="A982" t="s">
        <v>889</v>
      </c>
      <c r="B982" t="s">
        <v>890</v>
      </c>
      <c r="C982">
        <v>469</v>
      </c>
      <c r="D982">
        <v>157</v>
      </c>
      <c r="E982">
        <v>25</v>
      </c>
      <c r="F982">
        <v>1</v>
      </c>
      <c r="G982">
        <v>809</v>
      </c>
      <c r="H982">
        <v>569744</v>
      </c>
    </row>
    <row r="983" spans="1:8">
      <c r="A983" t="s">
        <v>893</v>
      </c>
      <c r="B983" t="s">
        <v>890</v>
      </c>
      <c r="C983">
        <v>470</v>
      </c>
      <c r="D983">
        <v>157</v>
      </c>
      <c r="E983">
        <v>25</v>
      </c>
      <c r="F983">
        <v>1</v>
      </c>
      <c r="G983">
        <v>1117</v>
      </c>
      <c r="H983">
        <v>571026</v>
      </c>
    </row>
    <row r="984" spans="1:8">
      <c r="A984" t="s">
        <v>889</v>
      </c>
      <c r="B984" t="s">
        <v>890</v>
      </c>
      <c r="C984">
        <v>471</v>
      </c>
      <c r="D984">
        <v>157</v>
      </c>
      <c r="E984">
        <v>25</v>
      </c>
      <c r="F984">
        <v>1</v>
      </c>
      <c r="G984">
        <v>1131</v>
      </c>
      <c r="H984">
        <v>572852</v>
      </c>
    </row>
    <row r="985" spans="1:8">
      <c r="A985" t="s">
        <v>894</v>
      </c>
      <c r="B985" t="s">
        <v>892</v>
      </c>
      <c r="C985">
        <v>472</v>
      </c>
      <c r="D985">
        <v>158</v>
      </c>
      <c r="E985">
        <v>25</v>
      </c>
      <c r="F985">
        <v>1</v>
      </c>
      <c r="G985">
        <v>398</v>
      </c>
      <c r="H985">
        <v>574266</v>
      </c>
    </row>
    <row r="986" spans="1:8">
      <c r="A986" t="s">
        <v>889</v>
      </c>
      <c r="B986" t="s">
        <v>891</v>
      </c>
      <c r="C986">
        <v>473</v>
      </c>
      <c r="D986">
        <v>158</v>
      </c>
      <c r="E986">
        <v>25</v>
      </c>
      <c r="F986">
        <v>1</v>
      </c>
      <c r="G986">
        <v>106</v>
      </c>
      <c r="H986">
        <v>574257</v>
      </c>
    </row>
    <row r="987" spans="1:8">
      <c r="A987" t="s">
        <v>889</v>
      </c>
      <c r="B987" t="s">
        <v>891</v>
      </c>
      <c r="C987">
        <v>474</v>
      </c>
      <c r="D987">
        <v>158</v>
      </c>
      <c r="E987">
        <v>25</v>
      </c>
      <c r="F987">
        <v>1</v>
      </c>
      <c r="G987">
        <v>298</v>
      </c>
      <c r="H987">
        <v>574635</v>
      </c>
    </row>
    <row r="988" spans="1:8">
      <c r="A988" t="s">
        <v>894</v>
      </c>
      <c r="B988" t="s">
        <v>892</v>
      </c>
      <c r="C988">
        <v>475</v>
      </c>
      <c r="D988">
        <v>159</v>
      </c>
      <c r="E988">
        <v>25</v>
      </c>
      <c r="F988">
        <v>1</v>
      </c>
      <c r="G988">
        <v>263</v>
      </c>
      <c r="H988">
        <v>575934</v>
      </c>
    </row>
    <row r="989" spans="1:8">
      <c r="A989" t="s">
        <v>889</v>
      </c>
      <c r="B989" t="s">
        <v>892</v>
      </c>
      <c r="C989">
        <v>476</v>
      </c>
      <c r="D989">
        <v>159</v>
      </c>
      <c r="E989">
        <v>25</v>
      </c>
      <c r="F989">
        <v>1</v>
      </c>
      <c r="G989">
        <v>238</v>
      </c>
      <c r="H989">
        <v>576057</v>
      </c>
    </row>
    <row r="990" spans="1:8">
      <c r="A990" t="s">
        <v>893</v>
      </c>
      <c r="B990" t="s">
        <v>891</v>
      </c>
      <c r="C990">
        <v>477</v>
      </c>
      <c r="D990">
        <v>159</v>
      </c>
      <c r="E990">
        <v>25</v>
      </c>
      <c r="F990">
        <v>1</v>
      </c>
      <c r="G990">
        <v>131</v>
      </c>
      <c r="H990">
        <v>576213</v>
      </c>
    </row>
    <row r="991" spans="1:8">
      <c r="A991" t="s">
        <v>889</v>
      </c>
      <c r="B991" t="s">
        <v>890</v>
      </c>
      <c r="C991">
        <v>478</v>
      </c>
      <c r="D991">
        <v>160</v>
      </c>
      <c r="E991">
        <v>25</v>
      </c>
      <c r="F991">
        <v>1</v>
      </c>
      <c r="G991">
        <v>796</v>
      </c>
      <c r="H991">
        <v>577225</v>
      </c>
    </row>
    <row r="992" spans="1:8">
      <c r="A992" t="s">
        <v>889</v>
      </c>
      <c r="B992" t="s">
        <v>891</v>
      </c>
      <c r="C992">
        <v>479</v>
      </c>
      <c r="D992">
        <v>160</v>
      </c>
      <c r="E992">
        <v>25</v>
      </c>
      <c r="F992">
        <v>1</v>
      </c>
      <c r="G992">
        <v>138</v>
      </c>
      <c r="H992">
        <v>577248</v>
      </c>
    </row>
    <row r="993" spans="1:8">
      <c r="A993" t="s">
        <v>889</v>
      </c>
      <c r="B993" t="s">
        <v>892</v>
      </c>
      <c r="C993">
        <v>480</v>
      </c>
      <c r="D993">
        <v>160</v>
      </c>
      <c r="E993">
        <v>25</v>
      </c>
      <c r="F993">
        <v>1</v>
      </c>
      <c r="G993">
        <v>398</v>
      </c>
      <c r="H993">
        <v>577701</v>
      </c>
    </row>
    <row r="994" spans="1:8">
      <c r="A994" t="s">
        <v>889</v>
      </c>
      <c r="B994" t="s">
        <v>892</v>
      </c>
      <c r="C994">
        <v>481</v>
      </c>
      <c r="D994">
        <v>161</v>
      </c>
      <c r="E994">
        <v>25</v>
      </c>
      <c r="F994">
        <v>1</v>
      </c>
      <c r="G994">
        <v>238</v>
      </c>
      <c r="H994">
        <v>577855</v>
      </c>
    </row>
    <row r="995" spans="1:8">
      <c r="A995" t="s">
        <v>889</v>
      </c>
      <c r="B995" t="s">
        <v>890</v>
      </c>
      <c r="C995">
        <v>482</v>
      </c>
      <c r="D995">
        <v>161</v>
      </c>
      <c r="E995">
        <v>25</v>
      </c>
      <c r="F995">
        <v>1</v>
      </c>
      <c r="G995">
        <v>828</v>
      </c>
      <c r="H995">
        <v>578858</v>
      </c>
    </row>
    <row r="996" spans="1:8">
      <c r="A996" t="s">
        <v>889</v>
      </c>
      <c r="B996" t="s">
        <v>892</v>
      </c>
      <c r="C996">
        <v>483</v>
      </c>
      <c r="D996">
        <v>161</v>
      </c>
      <c r="E996">
        <v>25</v>
      </c>
      <c r="F996">
        <v>1</v>
      </c>
      <c r="G996">
        <v>276</v>
      </c>
      <c r="H996">
        <v>581429</v>
      </c>
    </row>
    <row r="997" spans="1:8">
      <c r="A997" t="s">
        <v>889</v>
      </c>
      <c r="B997" t="s">
        <v>890</v>
      </c>
      <c r="C997">
        <v>484</v>
      </c>
      <c r="D997">
        <v>162</v>
      </c>
      <c r="E997">
        <v>26</v>
      </c>
      <c r="F997">
        <v>1</v>
      </c>
      <c r="G997">
        <v>854</v>
      </c>
      <c r="H997">
        <v>583599</v>
      </c>
    </row>
    <row r="998" spans="1:8">
      <c r="A998" t="s">
        <v>889</v>
      </c>
      <c r="B998" t="s">
        <v>890</v>
      </c>
      <c r="C998">
        <v>485</v>
      </c>
      <c r="D998">
        <v>162</v>
      </c>
      <c r="E998">
        <v>26</v>
      </c>
      <c r="F998">
        <v>1</v>
      </c>
      <c r="G998">
        <v>751</v>
      </c>
      <c r="H998">
        <v>584505</v>
      </c>
    </row>
    <row r="999" spans="1:8">
      <c r="A999" t="s">
        <v>894</v>
      </c>
      <c r="B999" t="s">
        <v>892</v>
      </c>
      <c r="C999">
        <v>486</v>
      </c>
      <c r="D999">
        <v>162</v>
      </c>
      <c r="E999">
        <v>26</v>
      </c>
      <c r="F999">
        <v>1</v>
      </c>
      <c r="G999">
        <v>398</v>
      </c>
      <c r="H999">
        <v>584928</v>
      </c>
    </row>
    <row r="1000" spans="1:8">
      <c r="A1000" t="s">
        <v>889</v>
      </c>
      <c r="B1000" t="s">
        <v>891</v>
      </c>
      <c r="C1000">
        <v>487</v>
      </c>
      <c r="D1000">
        <v>163</v>
      </c>
      <c r="E1000">
        <v>26</v>
      </c>
      <c r="F1000">
        <v>1</v>
      </c>
      <c r="G1000">
        <v>271</v>
      </c>
      <c r="H1000">
        <v>586095</v>
      </c>
    </row>
    <row r="1001" spans="1:8">
      <c r="A1001" t="s">
        <v>889</v>
      </c>
      <c r="B1001" t="s">
        <v>890</v>
      </c>
      <c r="C1001">
        <v>488</v>
      </c>
      <c r="D1001">
        <v>163</v>
      </c>
      <c r="E1001">
        <v>26</v>
      </c>
      <c r="F1001">
        <v>1</v>
      </c>
      <c r="G1001">
        <v>663</v>
      </c>
      <c r="H1001">
        <v>587003</v>
      </c>
    </row>
    <row r="1002" spans="1:8">
      <c r="A1002" t="s">
        <v>893</v>
      </c>
      <c r="B1002" t="s">
        <v>891</v>
      </c>
      <c r="C1002">
        <v>489</v>
      </c>
      <c r="D1002">
        <v>163</v>
      </c>
      <c r="E1002">
        <v>26</v>
      </c>
      <c r="F1002">
        <v>1</v>
      </c>
      <c r="G1002">
        <v>291</v>
      </c>
      <c r="H1002">
        <v>587319</v>
      </c>
    </row>
    <row r="1003" spans="1:8">
      <c r="A1003" t="s">
        <v>889</v>
      </c>
      <c r="B1003" t="s">
        <v>890</v>
      </c>
      <c r="C1003">
        <v>490</v>
      </c>
      <c r="D1003">
        <v>164</v>
      </c>
      <c r="E1003">
        <v>26</v>
      </c>
      <c r="F1003">
        <v>1</v>
      </c>
      <c r="G1003">
        <v>828</v>
      </c>
      <c r="H1003">
        <v>590393</v>
      </c>
    </row>
    <row r="1004" spans="1:8">
      <c r="A1004" t="s">
        <v>894</v>
      </c>
      <c r="B1004" t="s">
        <v>891</v>
      </c>
      <c r="C1004">
        <v>491</v>
      </c>
      <c r="D1004">
        <v>164</v>
      </c>
      <c r="E1004">
        <v>26</v>
      </c>
      <c r="F1004">
        <v>1</v>
      </c>
      <c r="G1004">
        <v>131</v>
      </c>
      <c r="H1004">
        <v>590649</v>
      </c>
    </row>
    <row r="1005" spans="1:8">
      <c r="A1005" t="s">
        <v>889</v>
      </c>
      <c r="B1005" t="s">
        <v>890</v>
      </c>
      <c r="C1005">
        <v>492</v>
      </c>
      <c r="D1005">
        <v>164</v>
      </c>
      <c r="E1005">
        <v>26</v>
      </c>
      <c r="F1005">
        <v>1</v>
      </c>
      <c r="G1005">
        <v>636</v>
      </c>
      <c r="H1005">
        <v>591170</v>
      </c>
    </row>
    <row r="1006" spans="1:8">
      <c r="A1006" t="s">
        <v>889</v>
      </c>
      <c r="B1006" t="s">
        <v>891</v>
      </c>
      <c r="C1006">
        <v>493</v>
      </c>
      <c r="D1006">
        <v>165</v>
      </c>
      <c r="E1006">
        <v>26</v>
      </c>
      <c r="F1006">
        <v>1</v>
      </c>
      <c r="G1006">
        <v>291</v>
      </c>
      <c r="H1006">
        <v>592682</v>
      </c>
    </row>
    <row r="1007" spans="1:8">
      <c r="A1007" t="s">
        <v>894</v>
      </c>
      <c r="B1007" t="s">
        <v>890</v>
      </c>
      <c r="C1007">
        <v>494</v>
      </c>
      <c r="D1007">
        <v>165</v>
      </c>
      <c r="E1007">
        <v>26</v>
      </c>
      <c r="F1007">
        <v>1</v>
      </c>
      <c r="G1007">
        <v>786</v>
      </c>
      <c r="H1007">
        <v>593658</v>
      </c>
    </row>
    <row r="1008" spans="1:8">
      <c r="A1008" t="s">
        <v>889</v>
      </c>
      <c r="B1008" t="s">
        <v>891</v>
      </c>
      <c r="C1008">
        <v>495</v>
      </c>
      <c r="D1008">
        <v>165</v>
      </c>
      <c r="E1008">
        <v>26</v>
      </c>
      <c r="F1008">
        <v>1</v>
      </c>
      <c r="G1008">
        <v>138</v>
      </c>
      <c r="H1008">
        <v>593191</v>
      </c>
    </row>
    <row r="1009" spans="1:8">
      <c r="A1009" t="s">
        <v>889</v>
      </c>
      <c r="B1009" t="s">
        <v>892</v>
      </c>
      <c r="C1009">
        <v>496</v>
      </c>
      <c r="D1009">
        <v>166</v>
      </c>
      <c r="E1009">
        <v>26</v>
      </c>
      <c r="F1009">
        <v>1</v>
      </c>
      <c r="G1009">
        <v>423</v>
      </c>
      <c r="H1009">
        <v>594660</v>
      </c>
    </row>
    <row r="1010" spans="1:8">
      <c r="A1010" t="s">
        <v>889</v>
      </c>
      <c r="B1010" t="s">
        <v>891</v>
      </c>
      <c r="C1010">
        <v>497</v>
      </c>
      <c r="D1010">
        <v>166</v>
      </c>
      <c r="E1010">
        <v>26</v>
      </c>
      <c r="F1010">
        <v>1</v>
      </c>
      <c r="G1010">
        <v>131</v>
      </c>
      <c r="H1010">
        <v>594676</v>
      </c>
    </row>
    <row r="1011" spans="1:8">
      <c r="A1011" t="s">
        <v>894</v>
      </c>
      <c r="B1011" t="s">
        <v>890</v>
      </c>
      <c r="C1011">
        <v>498</v>
      </c>
      <c r="D1011">
        <v>166</v>
      </c>
      <c r="E1011">
        <v>26</v>
      </c>
      <c r="F1011">
        <v>1</v>
      </c>
      <c r="G1011">
        <v>1068</v>
      </c>
      <c r="H1011">
        <v>596389</v>
      </c>
    </row>
    <row r="1012" spans="1:8">
      <c r="A1012" t="s">
        <v>889</v>
      </c>
      <c r="B1012" t="s">
        <v>892</v>
      </c>
      <c r="C1012">
        <v>499</v>
      </c>
      <c r="D1012">
        <v>167</v>
      </c>
      <c r="E1012">
        <v>26</v>
      </c>
      <c r="F1012">
        <v>1</v>
      </c>
      <c r="G1012">
        <v>398</v>
      </c>
      <c r="H1012">
        <v>597478</v>
      </c>
    </row>
    <row r="1013" spans="1:8">
      <c r="A1013" t="s">
        <v>889</v>
      </c>
      <c r="B1013" t="s">
        <v>892</v>
      </c>
      <c r="C1013">
        <v>500</v>
      </c>
      <c r="D1013">
        <v>167</v>
      </c>
      <c r="E1013">
        <v>26</v>
      </c>
      <c r="F1013">
        <v>1</v>
      </c>
      <c r="G1013">
        <v>276</v>
      </c>
      <c r="H1013">
        <v>597639</v>
      </c>
    </row>
    <row r="1014" spans="1:8">
      <c r="A1014" t="s">
        <v>889</v>
      </c>
      <c r="B1014" t="s">
        <v>892</v>
      </c>
      <c r="C1014">
        <v>501</v>
      </c>
      <c r="D1014">
        <v>167</v>
      </c>
      <c r="E1014">
        <v>26</v>
      </c>
      <c r="F1014">
        <v>1</v>
      </c>
      <c r="G1014">
        <v>423</v>
      </c>
      <c r="H1014">
        <v>598237</v>
      </c>
    </row>
    <row r="1015" spans="1:8">
      <c r="A1015" t="s">
        <v>894</v>
      </c>
      <c r="B1015" t="s">
        <v>891</v>
      </c>
      <c r="C1015">
        <v>502</v>
      </c>
      <c r="D1015">
        <v>168</v>
      </c>
      <c r="E1015">
        <v>26</v>
      </c>
      <c r="F1015">
        <v>1</v>
      </c>
      <c r="G1015">
        <v>106</v>
      </c>
      <c r="H1015">
        <v>599434</v>
      </c>
    </row>
    <row r="1016" spans="1:8">
      <c r="A1016" t="s">
        <v>889</v>
      </c>
      <c r="B1016" t="s">
        <v>892</v>
      </c>
      <c r="C1016">
        <v>503</v>
      </c>
      <c r="D1016">
        <v>168</v>
      </c>
      <c r="E1016">
        <v>26</v>
      </c>
      <c r="F1016">
        <v>1</v>
      </c>
      <c r="G1016">
        <v>238</v>
      </c>
      <c r="H1016">
        <v>599767</v>
      </c>
    </row>
    <row r="1017" spans="1:8">
      <c r="A1017" t="s">
        <v>889</v>
      </c>
      <c r="B1017" t="s">
        <v>892</v>
      </c>
      <c r="C1017">
        <v>504</v>
      </c>
      <c r="D1017">
        <v>168</v>
      </c>
      <c r="E1017">
        <v>27</v>
      </c>
      <c r="F1017">
        <v>1</v>
      </c>
      <c r="G1017">
        <v>398</v>
      </c>
      <c r="H1017">
        <v>600220</v>
      </c>
    </row>
    <row r="1018" spans="1:8">
      <c r="A1018" t="s">
        <v>889</v>
      </c>
      <c r="B1018" t="s">
        <v>891</v>
      </c>
      <c r="C1018">
        <v>505</v>
      </c>
      <c r="D1018">
        <v>169</v>
      </c>
      <c r="E1018">
        <v>27</v>
      </c>
      <c r="F1018">
        <v>1</v>
      </c>
      <c r="G1018">
        <v>106</v>
      </c>
      <c r="H1018">
        <v>600927</v>
      </c>
    </row>
    <row r="1019" spans="1:8">
      <c r="A1019" t="s">
        <v>894</v>
      </c>
      <c r="B1019" t="s">
        <v>890</v>
      </c>
      <c r="C1019">
        <v>506</v>
      </c>
      <c r="D1019">
        <v>169</v>
      </c>
      <c r="E1019">
        <v>27</v>
      </c>
      <c r="F1019">
        <v>1</v>
      </c>
      <c r="G1019">
        <v>786</v>
      </c>
      <c r="H1019">
        <v>601858</v>
      </c>
    </row>
    <row r="1020" spans="1:8">
      <c r="A1020" t="s">
        <v>889</v>
      </c>
      <c r="B1020" t="s">
        <v>890</v>
      </c>
      <c r="C1020">
        <v>507</v>
      </c>
      <c r="D1020">
        <v>169</v>
      </c>
      <c r="E1020">
        <v>27</v>
      </c>
      <c r="F1020">
        <v>1</v>
      </c>
      <c r="G1020">
        <v>854</v>
      </c>
      <c r="H1020">
        <v>602937</v>
      </c>
    </row>
    <row r="1021" spans="1:8">
      <c r="A1021" t="s">
        <v>889</v>
      </c>
      <c r="B1021" t="s">
        <v>890</v>
      </c>
      <c r="C1021">
        <v>508</v>
      </c>
      <c r="D1021">
        <v>170</v>
      </c>
      <c r="E1021">
        <v>27</v>
      </c>
      <c r="F1021">
        <v>1</v>
      </c>
      <c r="G1021">
        <v>751</v>
      </c>
      <c r="H1021">
        <v>605209</v>
      </c>
    </row>
    <row r="1022" spans="1:8">
      <c r="A1022" t="s">
        <v>893</v>
      </c>
      <c r="B1022" t="s">
        <v>890</v>
      </c>
      <c r="C1022">
        <v>509</v>
      </c>
      <c r="D1022">
        <v>170</v>
      </c>
      <c r="E1022">
        <v>27</v>
      </c>
      <c r="F1022">
        <v>1</v>
      </c>
      <c r="G1022">
        <v>899</v>
      </c>
      <c r="H1022">
        <v>606433</v>
      </c>
    </row>
    <row r="1023" spans="1:8">
      <c r="A1023" t="s">
        <v>889</v>
      </c>
      <c r="B1023" t="s">
        <v>891</v>
      </c>
      <c r="C1023">
        <v>510</v>
      </c>
      <c r="D1023">
        <v>170</v>
      </c>
      <c r="E1023">
        <v>27</v>
      </c>
      <c r="F1023">
        <v>1</v>
      </c>
      <c r="G1023">
        <v>291</v>
      </c>
      <c r="H1023">
        <v>606779</v>
      </c>
    </row>
    <row r="1024" spans="1:8">
      <c r="A1024" t="s">
        <v>894</v>
      </c>
      <c r="B1024" t="s">
        <v>890</v>
      </c>
      <c r="C1024">
        <v>511</v>
      </c>
      <c r="D1024">
        <v>171</v>
      </c>
      <c r="E1024">
        <v>27</v>
      </c>
      <c r="F1024">
        <v>1</v>
      </c>
      <c r="G1024">
        <v>973</v>
      </c>
      <c r="H1024">
        <v>608818</v>
      </c>
    </row>
    <row r="1025" spans="1:8">
      <c r="A1025" t="s">
        <v>889</v>
      </c>
      <c r="B1025" t="s">
        <v>891</v>
      </c>
      <c r="C1025">
        <v>512</v>
      </c>
      <c r="D1025">
        <v>171</v>
      </c>
      <c r="E1025">
        <v>27</v>
      </c>
      <c r="F1025">
        <v>1</v>
      </c>
      <c r="G1025">
        <v>106</v>
      </c>
      <c r="H1025">
        <v>608809</v>
      </c>
    </row>
    <row r="1026" spans="1:8">
      <c r="A1026" t="s">
        <v>889</v>
      </c>
      <c r="B1026" t="s">
        <v>892</v>
      </c>
      <c r="C1026">
        <v>513</v>
      </c>
      <c r="D1026">
        <v>171</v>
      </c>
      <c r="E1026">
        <v>27</v>
      </c>
      <c r="F1026">
        <v>1</v>
      </c>
      <c r="G1026">
        <v>423</v>
      </c>
      <c r="H1026">
        <v>609312</v>
      </c>
    </row>
    <row r="1027" spans="1:8">
      <c r="A1027" t="s">
        <v>894</v>
      </c>
      <c r="B1027" t="s">
        <v>891</v>
      </c>
      <c r="C1027">
        <v>514</v>
      </c>
      <c r="D1027">
        <v>172</v>
      </c>
      <c r="E1027">
        <v>27</v>
      </c>
      <c r="F1027">
        <v>1</v>
      </c>
      <c r="G1027">
        <v>291</v>
      </c>
      <c r="H1027">
        <v>610494</v>
      </c>
    </row>
    <row r="1028" spans="1:8">
      <c r="A1028" t="s">
        <v>889</v>
      </c>
      <c r="B1028" t="s">
        <v>890</v>
      </c>
      <c r="C1028">
        <v>515</v>
      </c>
      <c r="D1028">
        <v>172</v>
      </c>
      <c r="E1028">
        <v>27</v>
      </c>
      <c r="F1028">
        <v>1</v>
      </c>
      <c r="G1028">
        <v>636</v>
      </c>
      <c r="H1028">
        <v>611725</v>
      </c>
    </row>
    <row r="1029" spans="1:8">
      <c r="A1029" t="s">
        <v>893</v>
      </c>
      <c r="B1029" t="s">
        <v>890</v>
      </c>
      <c r="C1029">
        <v>516</v>
      </c>
      <c r="D1029">
        <v>172</v>
      </c>
      <c r="E1029">
        <v>27</v>
      </c>
      <c r="F1029">
        <v>1</v>
      </c>
      <c r="G1029">
        <v>874</v>
      </c>
      <c r="H1029">
        <v>612764</v>
      </c>
    </row>
    <row r="1030" spans="1:8">
      <c r="A1030" t="s">
        <v>889</v>
      </c>
      <c r="B1030" t="s">
        <v>890</v>
      </c>
      <c r="C1030">
        <v>517</v>
      </c>
      <c r="D1030">
        <v>173</v>
      </c>
      <c r="E1030">
        <v>27</v>
      </c>
      <c r="F1030">
        <v>1</v>
      </c>
      <c r="G1030">
        <v>911</v>
      </c>
      <c r="H1030">
        <v>614946</v>
      </c>
    </row>
    <row r="1031" spans="1:8">
      <c r="A1031" t="s">
        <v>889</v>
      </c>
      <c r="B1031" t="s">
        <v>890</v>
      </c>
      <c r="C1031">
        <v>518</v>
      </c>
      <c r="D1031">
        <v>173</v>
      </c>
      <c r="E1031">
        <v>27</v>
      </c>
      <c r="F1031">
        <v>1</v>
      </c>
      <c r="G1031">
        <v>886</v>
      </c>
      <c r="H1031">
        <v>615937</v>
      </c>
    </row>
    <row r="1032" spans="1:8">
      <c r="A1032" t="s">
        <v>894</v>
      </c>
      <c r="B1032" t="s">
        <v>891</v>
      </c>
      <c r="C1032">
        <v>519</v>
      </c>
      <c r="D1032">
        <v>173</v>
      </c>
      <c r="E1032">
        <v>27</v>
      </c>
      <c r="F1032">
        <v>1</v>
      </c>
      <c r="G1032">
        <v>238</v>
      </c>
      <c r="H1032">
        <v>616200</v>
      </c>
    </row>
    <row r="1033" spans="1:8">
      <c r="A1033" t="s">
        <v>889</v>
      </c>
      <c r="B1033" t="s">
        <v>892</v>
      </c>
      <c r="C1033">
        <v>520</v>
      </c>
      <c r="D1033">
        <v>174</v>
      </c>
      <c r="E1033">
        <v>27</v>
      </c>
      <c r="F1033">
        <v>1</v>
      </c>
      <c r="G1033">
        <v>423</v>
      </c>
      <c r="H1033">
        <v>616504</v>
      </c>
    </row>
    <row r="1034" spans="1:8">
      <c r="A1034" t="s">
        <v>889</v>
      </c>
      <c r="B1034" t="s">
        <v>891</v>
      </c>
      <c r="C1034">
        <v>521</v>
      </c>
      <c r="D1034">
        <v>174</v>
      </c>
      <c r="E1034">
        <v>27</v>
      </c>
      <c r="F1034">
        <v>1</v>
      </c>
      <c r="G1034">
        <v>106</v>
      </c>
      <c r="H1034">
        <v>616495</v>
      </c>
    </row>
    <row r="1035" spans="1:8">
      <c r="A1035" t="s">
        <v>893</v>
      </c>
      <c r="B1035" t="s">
        <v>891</v>
      </c>
      <c r="C1035">
        <v>522</v>
      </c>
      <c r="D1035">
        <v>174</v>
      </c>
      <c r="E1035">
        <v>27</v>
      </c>
      <c r="F1035">
        <v>1</v>
      </c>
      <c r="G1035">
        <v>106</v>
      </c>
      <c r="H1035">
        <v>616626</v>
      </c>
    </row>
    <row r="1036" spans="1:8">
      <c r="A1036" t="s">
        <v>889</v>
      </c>
      <c r="B1036" t="s">
        <v>890</v>
      </c>
      <c r="C1036">
        <v>523</v>
      </c>
      <c r="D1036">
        <v>175</v>
      </c>
      <c r="E1036">
        <v>27</v>
      </c>
      <c r="F1036">
        <v>1</v>
      </c>
      <c r="G1036">
        <v>796</v>
      </c>
      <c r="H1036">
        <v>618813</v>
      </c>
    </row>
    <row r="1037" spans="1:8">
      <c r="A1037" t="s">
        <v>889</v>
      </c>
      <c r="B1037" t="s">
        <v>890</v>
      </c>
      <c r="C1037">
        <v>524</v>
      </c>
      <c r="D1037">
        <v>175</v>
      </c>
      <c r="E1037">
        <v>27</v>
      </c>
      <c r="F1037">
        <v>1</v>
      </c>
      <c r="G1037">
        <v>694</v>
      </c>
      <c r="H1037">
        <v>621662</v>
      </c>
    </row>
    <row r="1038" spans="1:8">
      <c r="A1038" t="s">
        <v>889</v>
      </c>
      <c r="B1038" t="s">
        <v>892</v>
      </c>
      <c r="C1038">
        <v>525</v>
      </c>
      <c r="D1038">
        <v>175</v>
      </c>
      <c r="E1038">
        <v>28</v>
      </c>
      <c r="F1038">
        <v>1</v>
      </c>
      <c r="G1038">
        <v>398</v>
      </c>
      <c r="H1038">
        <v>622115</v>
      </c>
    </row>
    <row r="1039" spans="1:8">
      <c r="A1039" t="s">
        <v>889</v>
      </c>
      <c r="B1039" t="s">
        <v>890</v>
      </c>
      <c r="C1039">
        <v>526</v>
      </c>
      <c r="D1039">
        <v>176</v>
      </c>
      <c r="E1039">
        <v>28</v>
      </c>
      <c r="F1039">
        <v>1</v>
      </c>
      <c r="G1039">
        <v>751</v>
      </c>
      <c r="H1039">
        <v>623787</v>
      </c>
    </row>
    <row r="1040" spans="1:8">
      <c r="A1040" t="s">
        <v>894</v>
      </c>
      <c r="B1040" t="s">
        <v>891</v>
      </c>
      <c r="C1040">
        <v>527</v>
      </c>
      <c r="D1040">
        <v>176</v>
      </c>
      <c r="E1040">
        <v>28</v>
      </c>
      <c r="F1040">
        <v>1</v>
      </c>
      <c r="G1040">
        <v>266</v>
      </c>
      <c r="H1040">
        <v>624078</v>
      </c>
    </row>
    <row r="1041" spans="1:8">
      <c r="A1041" t="s">
        <v>889</v>
      </c>
      <c r="B1041" t="s">
        <v>890</v>
      </c>
      <c r="C1041">
        <v>528</v>
      </c>
      <c r="D1041">
        <v>176</v>
      </c>
      <c r="E1041">
        <v>28</v>
      </c>
      <c r="F1041">
        <v>1</v>
      </c>
      <c r="G1041">
        <v>796</v>
      </c>
      <c r="H1041">
        <v>625124</v>
      </c>
    </row>
    <row r="1042" spans="1:8">
      <c r="A1042" t="s">
        <v>889</v>
      </c>
      <c r="B1042" t="s">
        <v>892</v>
      </c>
      <c r="C1042">
        <v>529</v>
      </c>
      <c r="D1042">
        <v>177</v>
      </c>
      <c r="E1042">
        <v>28</v>
      </c>
      <c r="F1042">
        <v>1</v>
      </c>
      <c r="G1042">
        <v>263</v>
      </c>
      <c r="H1042">
        <v>626113</v>
      </c>
    </row>
    <row r="1043" spans="1:8">
      <c r="A1043" t="s">
        <v>893</v>
      </c>
      <c r="B1043" t="s">
        <v>891</v>
      </c>
      <c r="C1043">
        <v>530</v>
      </c>
      <c r="D1043">
        <v>177</v>
      </c>
      <c r="E1043">
        <v>28</v>
      </c>
      <c r="F1043">
        <v>1</v>
      </c>
      <c r="G1043">
        <v>266</v>
      </c>
      <c r="H1043">
        <v>626504</v>
      </c>
    </row>
    <row r="1044" spans="1:8">
      <c r="A1044" t="s">
        <v>889</v>
      </c>
      <c r="B1044" t="s">
        <v>890</v>
      </c>
      <c r="C1044">
        <v>531</v>
      </c>
      <c r="D1044">
        <v>177</v>
      </c>
      <c r="E1044">
        <v>28</v>
      </c>
      <c r="F1044">
        <v>1</v>
      </c>
      <c r="G1044">
        <v>828</v>
      </c>
      <c r="H1044">
        <v>627657</v>
      </c>
    </row>
    <row r="1045" spans="1:8">
      <c r="A1045" t="s">
        <v>894</v>
      </c>
      <c r="B1045" t="s">
        <v>890</v>
      </c>
      <c r="C1045">
        <v>532</v>
      </c>
      <c r="D1045">
        <v>178</v>
      </c>
      <c r="E1045">
        <v>28</v>
      </c>
      <c r="F1045">
        <v>1</v>
      </c>
      <c r="G1045">
        <v>1004</v>
      </c>
      <c r="H1045">
        <v>630052</v>
      </c>
    </row>
    <row r="1046" spans="1:8">
      <c r="A1046" t="s">
        <v>889</v>
      </c>
      <c r="B1046" t="s">
        <v>890</v>
      </c>
      <c r="C1046">
        <v>533</v>
      </c>
      <c r="D1046">
        <v>178</v>
      </c>
      <c r="E1046">
        <v>28</v>
      </c>
      <c r="F1046">
        <v>1</v>
      </c>
      <c r="G1046">
        <v>751</v>
      </c>
      <c r="H1046">
        <v>630998</v>
      </c>
    </row>
    <row r="1047" spans="1:8">
      <c r="A1047" t="s">
        <v>889</v>
      </c>
      <c r="B1047" t="s">
        <v>890</v>
      </c>
      <c r="C1047">
        <v>534</v>
      </c>
      <c r="D1047">
        <v>178</v>
      </c>
      <c r="E1047">
        <v>28</v>
      </c>
      <c r="F1047">
        <v>1</v>
      </c>
      <c r="G1047">
        <v>1010</v>
      </c>
      <c r="H1047">
        <v>632088</v>
      </c>
    </row>
    <row r="1048" spans="1:8">
      <c r="A1048" t="s">
        <v>894</v>
      </c>
      <c r="B1048" t="s">
        <v>890</v>
      </c>
      <c r="C1048">
        <v>535</v>
      </c>
      <c r="D1048">
        <v>179</v>
      </c>
      <c r="E1048">
        <v>28</v>
      </c>
      <c r="F1048">
        <v>1</v>
      </c>
      <c r="G1048">
        <v>1017</v>
      </c>
      <c r="H1048">
        <v>634446</v>
      </c>
    </row>
    <row r="1049" spans="1:8">
      <c r="A1049" t="s">
        <v>889</v>
      </c>
      <c r="B1049" t="s">
        <v>892</v>
      </c>
      <c r="C1049">
        <v>536</v>
      </c>
      <c r="D1049">
        <v>179</v>
      </c>
      <c r="E1049">
        <v>28</v>
      </c>
      <c r="F1049">
        <v>1</v>
      </c>
      <c r="G1049">
        <v>263</v>
      </c>
      <c r="H1049">
        <v>633614</v>
      </c>
    </row>
    <row r="1050" spans="1:8">
      <c r="A1050" t="s">
        <v>889</v>
      </c>
      <c r="B1050" t="s">
        <v>892</v>
      </c>
      <c r="C1050">
        <v>537</v>
      </c>
      <c r="D1050">
        <v>179</v>
      </c>
      <c r="E1050">
        <v>28</v>
      </c>
      <c r="F1050">
        <v>1</v>
      </c>
      <c r="G1050">
        <v>423</v>
      </c>
      <c r="H1050">
        <v>634257</v>
      </c>
    </row>
    <row r="1051" spans="1:8">
      <c r="A1051" t="s">
        <v>889</v>
      </c>
      <c r="B1051" t="s">
        <v>890</v>
      </c>
      <c r="C1051">
        <v>538</v>
      </c>
      <c r="D1051">
        <v>180</v>
      </c>
      <c r="E1051">
        <v>28</v>
      </c>
      <c r="F1051">
        <v>1</v>
      </c>
      <c r="G1051">
        <v>925</v>
      </c>
      <c r="H1051">
        <v>636433</v>
      </c>
    </row>
    <row r="1052" spans="1:8">
      <c r="A1052" t="s">
        <v>894</v>
      </c>
      <c r="B1052" t="s">
        <v>891</v>
      </c>
      <c r="C1052">
        <v>539</v>
      </c>
      <c r="D1052">
        <v>180</v>
      </c>
      <c r="E1052">
        <v>28</v>
      </c>
      <c r="F1052">
        <v>1</v>
      </c>
      <c r="G1052">
        <v>423</v>
      </c>
      <c r="H1052">
        <v>636981</v>
      </c>
    </row>
    <row r="1053" spans="1:8">
      <c r="A1053" t="s">
        <v>889</v>
      </c>
      <c r="B1053" t="s">
        <v>890</v>
      </c>
      <c r="C1053">
        <v>540</v>
      </c>
      <c r="D1053">
        <v>180</v>
      </c>
      <c r="E1053">
        <v>28</v>
      </c>
      <c r="F1053">
        <v>1</v>
      </c>
      <c r="G1053">
        <v>796</v>
      </c>
      <c r="H1053">
        <v>637832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46"/>
  <sheetViews>
    <sheetView workbookViewId="0"/>
  </sheetViews>
  <sheetFormatPr defaultRowHeight="15"/>
  <cols>
    <col min="1" max="1" width="40.7109375" customWidth="1"/>
    <col min="2" max="2" width="52.7109375" customWidth="1"/>
    <col min="3" max="10" width="17.7109375" customWidth="1"/>
    <col min="11" max="11" width="70.7109375" customWidth="1"/>
  </cols>
  <sheetData>
    <row r="1" spans="1:11">
      <c r="A1" s="4" t="s">
        <v>896</v>
      </c>
    </row>
    <row r="2" spans="1:11" ht="32" customHeight="1">
      <c r="A2" s="5" t="s">
        <v>20</v>
      </c>
      <c r="B2" s="5" t="s">
        <v>897</v>
      </c>
      <c r="C2" s="5" t="s">
        <v>898</v>
      </c>
      <c r="D2" s="5" t="s">
        <v>899</v>
      </c>
      <c r="E2" s="5" t="s">
        <v>900</v>
      </c>
      <c r="F2" s="5" t="s">
        <v>39</v>
      </c>
      <c r="G2" s="5" t="s">
        <v>55</v>
      </c>
      <c r="H2" s="5" t="s">
        <v>901</v>
      </c>
      <c r="I2" s="5" t="s">
        <v>902</v>
      </c>
      <c r="J2" s="5" t="s">
        <v>903</v>
      </c>
      <c r="K2" s="5" t="s">
        <v>904</v>
      </c>
    </row>
    <row r="3" spans="1:11">
      <c r="A3" t="s">
        <v>734</v>
      </c>
      <c r="B3" t="s">
        <v>905</v>
      </c>
      <c r="C3" t="s">
        <v>906</v>
      </c>
      <c r="D3">
        <v>180</v>
      </c>
      <c r="E3" s="15">
        <v>1</v>
      </c>
      <c r="F3">
        <v>44750</v>
      </c>
      <c r="G3">
        <v>0</v>
      </c>
      <c r="H3">
        <v>249</v>
      </c>
      <c r="I3" s="14">
        <v>0.03442824115925081</v>
      </c>
      <c r="J3" s="14">
        <v>0</v>
      </c>
      <c r="K3" t="s">
        <v>907</v>
      </c>
    </row>
    <row r="4" spans="1:11">
      <c r="A4" t="s">
        <v>734</v>
      </c>
      <c r="B4" t="s">
        <v>908</v>
      </c>
      <c r="C4" t="s">
        <v>909</v>
      </c>
      <c r="D4">
        <v>540</v>
      </c>
      <c r="E4" s="15">
        <v>3</v>
      </c>
      <c r="F4">
        <v>274736</v>
      </c>
      <c r="G4">
        <v>0</v>
      </c>
      <c r="H4">
        <v>509</v>
      </c>
      <c r="I4" s="14">
        <v>0.2113670896788364</v>
      </c>
      <c r="J4" s="14">
        <v>0</v>
      </c>
      <c r="K4" t="s">
        <v>910</v>
      </c>
    </row>
    <row r="5" spans="1:11">
      <c r="A5" t="s">
        <v>734</v>
      </c>
      <c r="B5" t="s">
        <v>911</v>
      </c>
      <c r="C5" t="s">
        <v>912</v>
      </c>
      <c r="D5">
        <v>900</v>
      </c>
      <c r="E5" s="15">
        <v>5</v>
      </c>
      <c r="F5">
        <v>67500</v>
      </c>
      <c r="G5">
        <v>0</v>
      </c>
      <c r="H5">
        <v>75</v>
      </c>
      <c r="I5" s="14">
        <v>0.05193086655305988</v>
      </c>
      <c r="J5" s="14">
        <v>0</v>
      </c>
      <c r="K5" t="s">
        <v>913</v>
      </c>
    </row>
    <row r="6" spans="1:11">
      <c r="A6" t="s">
        <v>734</v>
      </c>
      <c r="B6" t="s">
        <v>914</v>
      </c>
      <c r="C6" t="s">
        <v>906</v>
      </c>
      <c r="D6">
        <v>180</v>
      </c>
      <c r="E6" s="15">
        <v>1</v>
      </c>
      <c r="F6">
        <v>0</v>
      </c>
      <c r="G6">
        <v>540</v>
      </c>
      <c r="H6">
        <v>0</v>
      </c>
      <c r="I6" s="14">
        <v>0</v>
      </c>
      <c r="J6" s="14">
        <v>0.09141696292534281</v>
      </c>
      <c r="K6" t="s">
        <v>915</v>
      </c>
    </row>
    <row r="7" spans="1:11">
      <c r="A7" t="s">
        <v>734</v>
      </c>
      <c r="B7" t="s">
        <v>916</v>
      </c>
      <c r="C7" t="s">
        <v>906</v>
      </c>
      <c r="D7">
        <v>10</v>
      </c>
      <c r="E7" s="15">
        <v>0.05555555555555555</v>
      </c>
      <c r="F7">
        <v>0</v>
      </c>
      <c r="G7">
        <v>0</v>
      </c>
      <c r="H7">
        <v>0</v>
      </c>
      <c r="I7" s="14">
        <v>0</v>
      </c>
      <c r="J7" s="14">
        <v>0</v>
      </c>
      <c r="K7" t="s">
        <v>917</v>
      </c>
    </row>
    <row r="8" spans="1:11">
      <c r="A8" t="s">
        <v>734</v>
      </c>
      <c r="B8" t="s">
        <v>918</v>
      </c>
      <c r="C8" t="s">
        <v>906</v>
      </c>
      <c r="D8">
        <v>43</v>
      </c>
      <c r="E8" s="15">
        <v>0.2388888888888889</v>
      </c>
      <c r="F8">
        <v>0</v>
      </c>
      <c r="G8">
        <v>0</v>
      </c>
      <c r="H8">
        <v>0</v>
      </c>
      <c r="I8" s="14">
        <v>0</v>
      </c>
      <c r="J8" s="14">
        <v>0</v>
      </c>
      <c r="K8" t="s">
        <v>919</v>
      </c>
    </row>
    <row r="9" spans="1:11">
      <c r="A9" t="s">
        <v>734</v>
      </c>
      <c r="B9" t="s">
        <v>920</v>
      </c>
      <c r="C9" t="s">
        <v>906</v>
      </c>
      <c r="D9">
        <v>44</v>
      </c>
      <c r="E9" s="15">
        <v>0.2444444444444444</v>
      </c>
      <c r="F9">
        <v>0</v>
      </c>
      <c r="G9">
        <v>0</v>
      </c>
      <c r="H9">
        <v>0</v>
      </c>
      <c r="I9" s="14">
        <v>0</v>
      </c>
      <c r="J9" s="14">
        <v>0</v>
      </c>
      <c r="K9" t="s">
        <v>921</v>
      </c>
    </row>
    <row r="10" spans="1:11">
      <c r="A10" t="s">
        <v>734</v>
      </c>
      <c r="B10" t="s">
        <v>922</v>
      </c>
      <c r="C10" t="s">
        <v>906</v>
      </c>
      <c r="D10">
        <v>0</v>
      </c>
      <c r="E10" s="15">
        <v>0</v>
      </c>
      <c r="F10">
        <v>0</v>
      </c>
      <c r="G10">
        <v>0</v>
      </c>
      <c r="H10">
        <v>0</v>
      </c>
      <c r="I10" s="14">
        <v>0</v>
      </c>
      <c r="J10" s="14">
        <v>0</v>
      </c>
      <c r="K10" t="s">
        <v>923</v>
      </c>
    </row>
    <row r="11" spans="1:11">
      <c r="A11" t="s">
        <v>733</v>
      </c>
      <c r="B11" t="s">
        <v>905</v>
      </c>
      <c r="C11" t="s">
        <v>906</v>
      </c>
      <c r="D11">
        <v>180</v>
      </c>
      <c r="E11" s="15">
        <v>1</v>
      </c>
      <c r="F11">
        <v>44750</v>
      </c>
      <c r="G11">
        <v>0</v>
      </c>
      <c r="H11">
        <v>249</v>
      </c>
      <c r="I11" s="14">
        <v>0.01639171923310929</v>
      </c>
      <c r="J11" s="14">
        <v>0</v>
      </c>
      <c r="K11" t="s">
        <v>907</v>
      </c>
    </row>
    <row r="12" spans="1:11">
      <c r="A12" t="s">
        <v>733</v>
      </c>
      <c r="B12" t="s">
        <v>908</v>
      </c>
      <c r="C12" t="s">
        <v>909</v>
      </c>
      <c r="D12">
        <v>1080</v>
      </c>
      <c r="E12" s="15">
        <v>6</v>
      </c>
      <c r="F12">
        <v>692796</v>
      </c>
      <c r="G12">
        <v>0</v>
      </c>
      <c r="H12">
        <v>641</v>
      </c>
      <c r="I12" s="14">
        <v>0.2537679892250544</v>
      </c>
      <c r="J12" s="14">
        <v>0</v>
      </c>
      <c r="K12" t="s">
        <v>910</v>
      </c>
    </row>
    <row r="13" spans="1:11">
      <c r="A13" t="s">
        <v>733</v>
      </c>
      <c r="B13" t="s">
        <v>911</v>
      </c>
      <c r="C13" t="s">
        <v>912</v>
      </c>
      <c r="D13">
        <v>900</v>
      </c>
      <c r="E13" s="15">
        <v>5</v>
      </c>
      <c r="F13">
        <v>67500</v>
      </c>
      <c r="G13">
        <v>0</v>
      </c>
      <c r="H13">
        <v>75</v>
      </c>
      <c r="I13" s="14">
        <v>0.02472493962536039</v>
      </c>
      <c r="J13" s="14">
        <v>0</v>
      </c>
      <c r="K13" t="s">
        <v>913</v>
      </c>
    </row>
    <row r="14" spans="1:11">
      <c r="A14" t="s">
        <v>733</v>
      </c>
      <c r="B14" t="s">
        <v>914</v>
      </c>
      <c r="C14" t="s">
        <v>906</v>
      </c>
      <c r="D14">
        <v>180</v>
      </c>
      <c r="E14" s="15">
        <v>1</v>
      </c>
      <c r="F14">
        <v>0</v>
      </c>
      <c r="G14">
        <v>540</v>
      </c>
      <c r="H14">
        <v>0</v>
      </c>
      <c r="I14" s="14">
        <v>0</v>
      </c>
      <c r="J14" s="14">
        <v>0.04662407183560698</v>
      </c>
      <c r="K14" t="s">
        <v>915</v>
      </c>
    </row>
    <row r="15" spans="1:11">
      <c r="A15" t="s">
        <v>733</v>
      </c>
      <c r="B15" t="s">
        <v>916</v>
      </c>
      <c r="C15" t="s">
        <v>906</v>
      </c>
      <c r="D15">
        <v>7</v>
      </c>
      <c r="E15" s="15">
        <v>0.03888888888888889</v>
      </c>
      <c r="F15">
        <v>0</v>
      </c>
      <c r="G15">
        <v>0</v>
      </c>
      <c r="H15">
        <v>0</v>
      </c>
      <c r="I15" s="14">
        <v>0</v>
      </c>
      <c r="J15" s="14">
        <v>0</v>
      </c>
      <c r="K15" t="s">
        <v>917</v>
      </c>
    </row>
    <row r="16" spans="1:11">
      <c r="A16" t="s">
        <v>733</v>
      </c>
      <c r="B16" t="s">
        <v>918</v>
      </c>
      <c r="C16" t="s">
        <v>906</v>
      </c>
      <c r="D16">
        <v>70</v>
      </c>
      <c r="E16" s="15">
        <v>0.3888888888888889</v>
      </c>
      <c r="F16">
        <v>0</v>
      </c>
      <c r="G16">
        <v>0</v>
      </c>
      <c r="H16">
        <v>0</v>
      </c>
      <c r="I16" s="14">
        <v>0</v>
      </c>
      <c r="J16" s="14">
        <v>0</v>
      </c>
      <c r="K16" t="s">
        <v>919</v>
      </c>
    </row>
    <row r="17" spans="1:11">
      <c r="A17" t="s">
        <v>733</v>
      </c>
      <c r="B17" t="s">
        <v>920</v>
      </c>
      <c r="C17" t="s">
        <v>906</v>
      </c>
      <c r="D17">
        <v>57</v>
      </c>
      <c r="E17" s="15">
        <v>0.3166666666666667</v>
      </c>
      <c r="F17">
        <v>0</v>
      </c>
      <c r="G17">
        <v>0</v>
      </c>
      <c r="H17">
        <v>0</v>
      </c>
      <c r="I17" s="14">
        <v>0</v>
      </c>
      <c r="J17" s="14">
        <v>0</v>
      </c>
      <c r="K17" t="s">
        <v>921</v>
      </c>
    </row>
    <row r="18" spans="1:11">
      <c r="A18" t="s">
        <v>733</v>
      </c>
      <c r="B18" t="s">
        <v>922</v>
      </c>
      <c r="C18" t="s">
        <v>906</v>
      </c>
      <c r="D18">
        <v>0</v>
      </c>
      <c r="E18" s="15">
        <v>0</v>
      </c>
      <c r="F18">
        <v>0</v>
      </c>
      <c r="G18">
        <v>0</v>
      </c>
      <c r="H18">
        <v>0</v>
      </c>
      <c r="I18" s="14">
        <v>0</v>
      </c>
      <c r="J18" s="14">
        <v>0</v>
      </c>
      <c r="K18" t="s">
        <v>923</v>
      </c>
    </row>
    <row r="20" spans="1:11">
      <c r="A20" s="4" t="s">
        <v>924</v>
      </c>
    </row>
    <row r="21" spans="1:11" ht="32" customHeight="1">
      <c r="A21" s="5" t="s">
        <v>61</v>
      </c>
      <c r="B21" s="5"/>
      <c r="C21" s="5" t="s">
        <v>925</v>
      </c>
      <c r="D21" s="5" t="s">
        <v>926</v>
      </c>
      <c r="E21" s="5" t="s">
        <v>927</v>
      </c>
    </row>
    <row r="22" spans="1:11">
      <c r="A22" t="s">
        <v>759</v>
      </c>
      <c r="C22" s="15">
        <v>4</v>
      </c>
      <c r="D22" s="15">
        <v>3</v>
      </c>
      <c r="E22" s="8">
        <f>IF(D22&gt;0,C22/D22,0)</f>
        <v>1.3333333333333333</v>
      </c>
    </row>
    <row r="23" spans="1:11">
      <c r="A23" t="s">
        <v>760</v>
      </c>
      <c r="C23" s="15">
        <v>14</v>
      </c>
      <c r="D23" s="15">
        <v>10</v>
      </c>
      <c r="E23" s="8">
        <f>IF(D23&gt;0,C23/D23,0)</f>
        <v>1.4</v>
      </c>
    </row>
    <row r="24" spans="1:11">
      <c r="A24" t="s">
        <v>761</v>
      </c>
      <c r="C24" s="15">
        <v>14.33333333333333</v>
      </c>
      <c r="D24" s="15">
        <v>10.66666666666667</v>
      </c>
      <c r="E24" s="8">
        <f>IF(D24&gt;0,C24/D24,0)</f>
        <v>1.3437500000000002</v>
      </c>
    </row>
    <row r="25" spans="1:11">
      <c r="A25" t="s">
        <v>762</v>
      </c>
      <c r="C25" s="15">
        <v>35.66666666666666</v>
      </c>
      <c r="D25" s="15">
        <v>35.66666666666666</v>
      </c>
      <c r="E25" s="8">
        <f>IF(D25&gt;0,C25/D25,0)</f>
        <v>1</v>
      </c>
    </row>
    <row r="26" spans="1:11">
      <c r="A26" t="s">
        <v>646</v>
      </c>
      <c r="C26" s="15">
        <v>5</v>
      </c>
      <c r="D26" s="15">
        <v>4.333333333333333</v>
      </c>
      <c r="E26" s="8">
        <f>IF(D26&gt;0,C26/D26,0)</f>
        <v>1.153846153846154</v>
      </c>
    </row>
    <row r="27" spans="1:11">
      <c r="A27" t="s">
        <v>647</v>
      </c>
      <c r="C27" s="15">
        <v>20</v>
      </c>
      <c r="D27" s="15">
        <v>17</v>
      </c>
      <c r="E27" s="8">
        <f>IF(D27&gt;0,C27/D27,0)</f>
        <v>1.1764705882352942</v>
      </c>
    </row>
    <row r="28" spans="1:11">
      <c r="A28" t="s">
        <v>763</v>
      </c>
      <c r="C28" s="15">
        <v>68.33333333333333</v>
      </c>
      <c r="D28" s="15">
        <v>56</v>
      </c>
      <c r="E28" s="8">
        <f>IF(D28&gt;0,C28/D28,0)</f>
        <v>1.2202380952380951</v>
      </c>
    </row>
    <row r="30" spans="1:11">
      <c r="A30" s="4" t="s">
        <v>928</v>
      </c>
    </row>
    <row r="31" spans="1:11" ht="32" customHeight="1">
      <c r="A31" s="5" t="s">
        <v>929</v>
      </c>
      <c r="B31" s="5"/>
      <c r="C31" s="5" t="s">
        <v>590</v>
      </c>
    </row>
    <row r="32" spans="1:11">
      <c r="A32" t="s">
        <v>930</v>
      </c>
      <c r="C32" s="6">
        <v>2.5</v>
      </c>
    </row>
    <row r="33" spans="1:10">
      <c r="A33" t="s">
        <v>931</v>
      </c>
      <c r="C33" s="6">
        <v>3.5</v>
      </c>
    </row>
    <row r="34" spans="1:10">
      <c r="A34" t="s">
        <v>932</v>
      </c>
      <c r="C34" s="6">
        <v>3</v>
      </c>
    </row>
    <row r="36" spans="1:10" ht="32" customHeight="1">
      <c r="A36" s="5" t="s">
        <v>20</v>
      </c>
      <c r="B36" s="5"/>
      <c r="C36" s="5" t="s">
        <v>933</v>
      </c>
      <c r="D36" s="5" t="s">
        <v>934</v>
      </c>
      <c r="E36" s="5" t="s">
        <v>935</v>
      </c>
      <c r="F36" s="5" t="s">
        <v>936</v>
      </c>
      <c r="G36" s="5" t="s">
        <v>937</v>
      </c>
      <c r="H36" s="5" t="s">
        <v>938</v>
      </c>
    </row>
    <row r="37" spans="1:10">
      <c r="A37" t="s">
        <v>720</v>
      </c>
      <c r="C37">
        <v>2</v>
      </c>
      <c r="D37" s="8">
        <f>C37*($C$32+$C$33)</f>
        <v>12</v>
      </c>
      <c r="E37">
        <v>0</v>
      </c>
      <c r="F37" s="8">
        <f>IF(AND($C$32&gt;=$C$34,$C$33&gt;=$C$34),2*C37-1,IF($C$32+$C$33&gt;=$C$34,C37,ROUNDUP(C37*($C$32+$C$33)/$C$34,0)))</f>
        <v>2</v>
      </c>
      <c r="G37" s="8">
        <f>IF(D37&gt;0,F37/D37*60,0)</f>
        <v>10</v>
      </c>
      <c r="H37" s="15">
        <v>0</v>
      </c>
    </row>
    <row r="38" spans="1:10">
      <c r="A38" t="s">
        <v>729</v>
      </c>
      <c r="C38">
        <v>3</v>
      </c>
      <c r="D38" s="8">
        <f>C38*($C$32+$C$33)</f>
        <v>18</v>
      </c>
      <c r="E38">
        <v>1</v>
      </c>
      <c r="F38" s="8">
        <f>IF(AND($C$32&gt;=$C$34,$C$33&gt;=$C$34),2*C38-1,IF($C$32+$C$33&gt;=$C$34,C38,ROUNDUP(C38*($C$32+$C$33)/$C$34,0)))</f>
        <v>3</v>
      </c>
      <c r="G38" s="8">
        <f>IF(D38&gt;0,F38/D38*60,0)</f>
        <v>10</v>
      </c>
      <c r="H38" s="15">
        <v>0</v>
      </c>
    </row>
    <row r="39" spans="1:10">
      <c r="A39" t="s">
        <v>733</v>
      </c>
      <c r="C39">
        <v>6</v>
      </c>
      <c r="D39" s="8">
        <f>C39*($C$32+$C$33)</f>
        <v>36</v>
      </c>
      <c r="E39">
        <v>4</v>
      </c>
      <c r="F39" s="8">
        <f>IF(AND($C$32&gt;=$C$34,$C$33&gt;=$C$34),2*C39-1,IF($C$32+$C$33&gt;=$C$34,C39,ROUNDUP(C39*($C$32+$C$33)/$C$34,0)))</f>
        <v>6</v>
      </c>
      <c r="G39" s="8">
        <f>IF(D39&gt;0,F39/D39*60,0)</f>
        <v>10</v>
      </c>
      <c r="H39" s="15">
        <v>13.74444444444444</v>
      </c>
    </row>
    <row r="40" spans="1:10">
      <c r="A40" t="s">
        <v>734</v>
      </c>
      <c r="C40">
        <v>3</v>
      </c>
      <c r="D40" s="8">
        <f>C40*($C$32+$C$33)</f>
        <v>18</v>
      </c>
      <c r="E40">
        <v>1</v>
      </c>
      <c r="F40" s="8">
        <f>IF(AND($C$32&gt;=$C$34,$C$33&gt;=$C$34),2*C40-1,IF($C$32+$C$33&gt;=$C$34,C40,ROUNDUP(C40*($C$32+$C$33)/$C$34,0)))</f>
        <v>3</v>
      </c>
      <c r="G40" s="8">
        <f>IF(D40&gt;0,F40/D40*60,0)</f>
        <v>10</v>
      </c>
      <c r="H40" s="15">
        <v>10.53888888888889</v>
      </c>
    </row>
    <row r="42" spans="1:10">
      <c r="A42" s="3" t="s">
        <v>939</v>
      </c>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sheetData>
  <mergeCells count="1">
    <mergeCell ref="A42:J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3.7109375" customWidth="1"/>
    <col min="2" max="2" width="74.7109375" customWidth="1"/>
    <col min="3" max="3" width="30.7109375" customWidth="1"/>
    <col min="4" max="4" width="10.7109375" customWidth="1"/>
    <col min="5" max="5" width="13.7109375" customWidth="1"/>
    <col min="6" max="6" width="10.7109375" customWidth="1"/>
    <col min="7" max="7" width="16.7109375" customWidth="1"/>
    <col min="8" max="8" width="11.7109375" customWidth="1"/>
    <col min="9" max="9" width="110.7109375" customWidth="1"/>
  </cols>
  <sheetData>
    <row r="1" spans="1:9" ht="32" customHeight="1">
      <c r="A1" s="5" t="s">
        <v>940</v>
      </c>
      <c r="B1" s="5" t="s">
        <v>941</v>
      </c>
      <c r="C1" s="5" t="s">
        <v>942</v>
      </c>
      <c r="D1" s="5" t="s">
        <v>943</v>
      </c>
      <c r="E1" s="5" t="s">
        <v>944</v>
      </c>
      <c r="F1" s="5" t="s">
        <v>885</v>
      </c>
      <c r="G1" s="5" t="s">
        <v>945</v>
      </c>
      <c r="H1" s="5" t="s">
        <v>946</v>
      </c>
      <c r="I1" s="5" t="s">
        <v>947</v>
      </c>
    </row>
    <row r="2" spans="1:9" ht="46" customHeight="1">
      <c r="A2" t="s">
        <v>948</v>
      </c>
      <c r="B2" t="s">
        <v>949</v>
      </c>
      <c r="C2" t="s">
        <v>950</v>
      </c>
      <c r="D2" s="6">
        <v>0</v>
      </c>
      <c r="E2" s="15">
        <v>0</v>
      </c>
      <c r="F2" s="16" t="str">
        <f>IF(E2&lt;=D2,"PASS","FAIL")</f>
        <v>PASS</v>
      </c>
      <c r="H2" t="s">
        <v>71</v>
      </c>
      <c r="I2" s="2" t="s">
        <v>951</v>
      </c>
    </row>
    <row r="3" spans="1:9" ht="46" customHeight="1">
      <c r="A3" t="s">
        <v>952</v>
      </c>
      <c r="B3" t="s">
        <v>953</v>
      </c>
      <c r="C3" t="s">
        <v>954</v>
      </c>
      <c r="D3" s="6">
        <v>0</v>
      </c>
      <c r="E3" s="8">
        <f>SUM('Career By Season'!AQ2:AQ10,'Career By Season'!AQ11:AQ37,'Career By Season'!AQ38:AQ85)</f>
        <v>0</v>
      </c>
      <c r="F3" s="16" t="str">
        <f>IF(E3&lt;=D3,"PASS","FAIL")</f>
        <v>PASS</v>
      </c>
      <c r="H3" t="s">
        <v>955</v>
      </c>
      <c r="I3" s="2" t="s">
        <v>956</v>
      </c>
    </row>
    <row r="4" spans="1:9" ht="46" customHeight="1">
      <c r="A4" t="s">
        <v>952</v>
      </c>
      <c r="B4" t="s">
        <v>957</v>
      </c>
      <c r="C4" t="s">
        <v>958</v>
      </c>
      <c r="D4" s="7">
        <v>0.01</v>
      </c>
      <c r="E4" s="13">
        <f>SUM('Career By Season'!AG2:AG10,'Career By Season'!AG11:AG37,'Career By Season'!AG38:AG85)/SUM('Career By Season'!AL2:AL10,'Career By Season'!AL11:AL37,'Career By Season'!AL38:AL85)</f>
        <v>0</v>
      </c>
      <c r="F4" s="16" t="str">
        <f>IF(E4&lt;=D4,"PASS","FAIL")</f>
        <v>PASS</v>
      </c>
      <c r="H4" t="s">
        <v>959</v>
      </c>
      <c r="I4" s="2" t="s">
        <v>960</v>
      </c>
    </row>
    <row r="5" spans="1:9" ht="46" customHeight="1">
      <c r="A5" t="s">
        <v>952</v>
      </c>
      <c r="B5" t="s">
        <v>961</v>
      </c>
      <c r="C5" t="s">
        <v>962</v>
      </c>
      <c r="D5" s="7">
        <v>0.67</v>
      </c>
      <c r="E5" s="13">
        <f>MAX('Career By Season'!AM2:AM10,'Career By Season'!AM11:AM37,'Career By Season'!AM38:AM85)</f>
        <v>0.47261446298673515</v>
      </c>
      <c r="F5" s="16" t="str">
        <f>IF(E5&lt;=D5,"PASS","FAIL")</f>
        <v>PASS</v>
      </c>
      <c r="H5" t="s">
        <v>959</v>
      </c>
      <c r="I5" s="2" t="s">
        <v>963</v>
      </c>
    </row>
    <row r="6" spans="1:9" ht="46" customHeight="1">
      <c r="A6" t="s">
        <v>952</v>
      </c>
      <c r="B6" t="s">
        <v>964</v>
      </c>
      <c r="C6" t="s">
        <v>965</v>
      </c>
      <c r="D6" s="7">
        <v>1</v>
      </c>
      <c r="E6" s="13">
        <f>MAX('Career By Season'!AN112:AN138)</f>
        <v>0.6458521190261497</v>
      </c>
      <c r="F6" s="16" t="str">
        <f>IF(E6&lt;=D6,"PASS","FAIL")</f>
        <v>PASS</v>
      </c>
      <c r="H6" t="s">
        <v>959</v>
      </c>
      <c r="I6" s="2" t="s">
        <v>966</v>
      </c>
    </row>
    <row r="7" spans="1:9" ht="46" customHeight="1">
      <c r="A7" t="s">
        <v>967</v>
      </c>
      <c r="B7" t="s">
        <v>968</v>
      </c>
      <c r="C7" t="s">
        <v>969</v>
      </c>
      <c r="D7" s="6">
        <v>8</v>
      </c>
      <c r="E7" s="8">
        <f>MAX('Career Tables'!F89:F101)</f>
        <v>7</v>
      </c>
      <c r="F7" s="16" t="str">
        <f>IF(E7&lt;=D7,"PASS","FAIL")</f>
        <v>PASS</v>
      </c>
      <c r="H7" t="s">
        <v>42</v>
      </c>
      <c r="I7" s="2" t="s">
        <v>970</v>
      </c>
    </row>
    <row r="8" spans="1:9" ht="46" customHeight="1">
      <c r="A8" t="s">
        <v>967</v>
      </c>
      <c r="B8" t="s">
        <v>971</v>
      </c>
      <c r="C8" t="s">
        <v>972</v>
      </c>
      <c r="D8" s="6">
        <v>42</v>
      </c>
      <c r="E8" s="8">
        <f>'Career Tables'!C60</f>
        <v>15</v>
      </c>
      <c r="F8" s="16" t="str">
        <f>IF(E8&lt;=D8,"PASS","FAIL")</f>
        <v>PASS</v>
      </c>
      <c r="H8" t="s">
        <v>973</v>
      </c>
      <c r="I8" s="2" t="s">
        <v>974</v>
      </c>
    </row>
    <row r="9" spans="1:9" ht="46" customHeight="1">
      <c r="A9" t="s">
        <v>967</v>
      </c>
      <c r="B9" t="s">
        <v>975</v>
      </c>
      <c r="C9" t="s">
        <v>976</v>
      </c>
      <c r="D9" s="6">
        <v>70</v>
      </c>
      <c r="E9" s="8">
        <f>'Career Tables'!C61</f>
        <v>34</v>
      </c>
      <c r="F9" s="16" t="str">
        <f>IF(E9&lt;=D9,"PASS","FAIL")</f>
        <v>PASS</v>
      </c>
      <c r="H9" t="s">
        <v>973</v>
      </c>
      <c r="I9" s="2" t="s">
        <v>977</v>
      </c>
    </row>
    <row r="10" spans="1:9" ht="46" customHeight="1">
      <c r="A10" t="s">
        <v>967</v>
      </c>
      <c r="B10" t="s">
        <v>978</v>
      </c>
      <c r="C10" t="s">
        <v>979</v>
      </c>
      <c r="D10" s="6">
        <v>5</v>
      </c>
      <c r="E10" s="8">
        <f>'Career Tables'!C58</f>
        <v>4</v>
      </c>
      <c r="F10" s="16" t="str">
        <f>IF(E10&lt;=D10,"PASS","FAIL")</f>
        <v>PASS</v>
      </c>
      <c r="H10" t="s">
        <v>973</v>
      </c>
      <c r="I10" s="2" t="s">
        <v>980</v>
      </c>
    </row>
    <row r="11" spans="1:9" ht="46" customHeight="1">
      <c r="A11" t="s">
        <v>967</v>
      </c>
      <c r="B11" t="s">
        <v>981</v>
      </c>
      <c r="C11" t="s">
        <v>982</v>
      </c>
      <c r="D11" s="6">
        <v>21</v>
      </c>
      <c r="E11" s="8">
        <f>'Career Tables'!C59</f>
        <v>13</v>
      </c>
      <c r="F11" s="16" t="str">
        <f>IF(E11&lt;=D11,"PASS","FAIL")</f>
        <v>PASS</v>
      </c>
      <c r="H11" t="s">
        <v>973</v>
      </c>
      <c r="I11" s="2" t="s">
        <v>983</v>
      </c>
    </row>
    <row r="12" spans="1:9" ht="46" customHeight="1">
      <c r="A12" t="s">
        <v>984</v>
      </c>
      <c r="B12" t="s">
        <v>985</v>
      </c>
      <c r="C12" t="s">
        <v>986</v>
      </c>
      <c r="D12" s="7">
        <v>1</v>
      </c>
      <c r="E12" s="13">
        <f>MAX('Career Tables'!H105:H120,'Career Tables'!E124:E128)</f>
        <v>0.678926825837758</v>
      </c>
      <c r="F12" s="16" t="str">
        <f>IF(E12&lt;=D12,"PASS","FAIL")</f>
        <v>PASS</v>
      </c>
      <c r="H12" t="s">
        <v>959</v>
      </c>
      <c r="I12" s="2" t="s">
        <v>987</v>
      </c>
    </row>
    <row r="13" spans="1:9" ht="46" customHeight="1">
      <c r="A13" t="s">
        <v>984</v>
      </c>
      <c r="B13" t="s">
        <v>988</v>
      </c>
      <c r="C13" t="s">
        <v>989</v>
      </c>
      <c r="D13" s="7">
        <v>0.25</v>
      </c>
      <c r="E13" s="13">
        <f>MAX('Career Tables'!E105:E120,'Club Income'!E17:E40)</f>
        <v>0.22340549315986902</v>
      </c>
      <c r="F13" s="16" t="str">
        <f>IF(E13&lt;=D13,"PASS","FAIL")</f>
        <v>PASS</v>
      </c>
      <c r="G13" s="14">
        <v>0.266</v>
      </c>
      <c r="H13" t="s">
        <v>959</v>
      </c>
      <c r="I13" s="2" t="s">
        <v>990</v>
      </c>
    </row>
    <row r="14" spans="1:9" ht="46" customHeight="1">
      <c r="A14" t="s">
        <v>991</v>
      </c>
      <c r="B14" t="s">
        <v>992</v>
      </c>
      <c r="C14" t="s">
        <v>993</v>
      </c>
      <c r="D14" s="6">
        <v>1.25</v>
      </c>
      <c r="E14" s="8">
        <f>'Career Tables'!E134/'Career Tables'!E132</f>
        <v>0.9532263571184705</v>
      </c>
      <c r="F14" s="16" t="str">
        <f>IF(E14&lt;=D14,"PASS","FAIL")</f>
        <v>PASS</v>
      </c>
      <c r="G14" s="15">
        <v>2.37</v>
      </c>
      <c r="H14" t="s">
        <v>994</v>
      </c>
      <c r="I14" s="2" t="s">
        <v>995</v>
      </c>
    </row>
    <row r="15" spans="1:9" ht="46" customHeight="1">
      <c r="A15" t="s">
        <v>991</v>
      </c>
      <c r="B15" t="s">
        <v>996</v>
      </c>
      <c r="C15" t="s">
        <v>997</v>
      </c>
      <c r="D15" s="6">
        <v>0</v>
      </c>
      <c r="E15" s="8">
        <f>MAX('Career Tables'!G138,'Career Tables'!G141,'Career Tables'!G142,'Career Tables'!G145,'Career Tables'!G148,'Career Tables'!G149,'Career Tables'!G152,'Career Tables'!G155,'Career Tables'!G156)</f>
        <v>0</v>
      </c>
      <c r="F15" s="16" t="str">
        <f>IF(E15&lt;=D15,"PASS","FAIL")</f>
        <v>PASS</v>
      </c>
      <c r="H15" t="s">
        <v>71</v>
      </c>
      <c r="I15" s="2" t="s">
        <v>998</v>
      </c>
    </row>
    <row r="16" spans="1:9" ht="46" customHeight="1">
      <c r="A16" t="s">
        <v>991</v>
      </c>
      <c r="B16" t="s">
        <v>999</v>
      </c>
      <c r="C16" t="s">
        <v>1000</v>
      </c>
      <c r="D16" s="6">
        <v>2</v>
      </c>
      <c r="E16" s="8">
        <f>MAX('Career Tables'!H139,'Career Tables'!H140,'Career Tables'!H143,'Career Tables'!H146,'Career Tables'!H147,'Career Tables'!H150,'Career Tables'!H153,'Career Tables'!H154,'Career Tables'!H157)</f>
        <v>1.375</v>
      </c>
      <c r="F16" s="16" t="str">
        <f>IF(E16&lt;=D16,"PASS","FAIL")</f>
        <v>PASS</v>
      </c>
      <c r="H16" t="s">
        <v>1001</v>
      </c>
      <c r="I16" s="2" t="s">
        <v>1002</v>
      </c>
    </row>
    <row r="17" spans="1:9" ht="46" customHeight="1">
      <c r="A17" t="s">
        <v>1003</v>
      </c>
      <c r="B17" t="s">
        <v>1004</v>
      </c>
      <c r="C17" t="s">
        <v>1005</v>
      </c>
      <c r="D17" s="7">
        <v>0.05</v>
      </c>
      <c r="E17" s="14">
        <v>0</v>
      </c>
      <c r="F17" s="16" t="str">
        <f>IF(E17&lt;=D17,"PASS","FAIL")</f>
        <v>PASS</v>
      </c>
      <c r="H17" t="s">
        <v>959</v>
      </c>
      <c r="I17" s="2" t="s">
        <v>1006</v>
      </c>
    </row>
    <row r="18" spans="1:9" ht="46" customHeight="1">
      <c r="A18" t="s">
        <v>1003</v>
      </c>
      <c r="B18" t="s">
        <v>1007</v>
      </c>
      <c r="C18" t="s">
        <v>1008</v>
      </c>
      <c r="D18" s="6">
        <v>365</v>
      </c>
      <c r="E18" s="15">
        <v>231</v>
      </c>
      <c r="F18" s="16" t="str">
        <f>IF(E18&lt;=D18,"PASS","FAIL")</f>
        <v>PASS</v>
      </c>
      <c r="H18" t="s">
        <v>973</v>
      </c>
      <c r="I18" s="2" t="s">
        <v>1009</v>
      </c>
    </row>
    <row r="19" spans="1:9" ht="46" customHeight="1">
      <c r="A19" t="s">
        <v>1010</v>
      </c>
      <c r="B19" t="s">
        <v>1011</v>
      </c>
      <c r="C19" t="s">
        <v>1012</v>
      </c>
      <c r="D19" s="7">
        <v>0.1</v>
      </c>
      <c r="E19" s="13">
        <f>SUM('Career By Season'!AH11:AH37,'Career By Season'!AI11:AI37)/SUM('Career By Season'!N11:N37)</f>
        <v>0</v>
      </c>
      <c r="F19" s="17" t="str">
        <f>IF(E19&gt;=D19,"PASS","FAIL")</f>
        <v>FAIL</v>
      </c>
      <c r="H19" t="s">
        <v>959</v>
      </c>
      <c r="I19" s="2" t="s">
        <v>1013</v>
      </c>
    </row>
    <row r="20" spans="1:9" ht="46" customHeight="1">
      <c r="A20" t="s">
        <v>1010</v>
      </c>
      <c r="B20" t="s">
        <v>1014</v>
      </c>
      <c r="C20" t="s">
        <v>1015</v>
      </c>
      <c r="D20" s="6">
        <v>60</v>
      </c>
      <c r="E20" s="8">
        <f>'Career Tables'!K4</f>
        <v>57</v>
      </c>
      <c r="F20" s="17" t="str">
        <f>IF(E20&gt;=D20,"PASS","FAIL")</f>
        <v>FAIL</v>
      </c>
      <c r="H20" t="s">
        <v>973</v>
      </c>
      <c r="I20" s="2" t="s">
        <v>1016</v>
      </c>
    </row>
    <row r="21" spans="1:9" ht="46" customHeight="1">
      <c r="A21" t="s">
        <v>1017</v>
      </c>
      <c r="B21" t="s">
        <v>1018</v>
      </c>
      <c r="C21" t="s">
        <v>1019</v>
      </c>
      <c r="D21" s="6">
        <v>2</v>
      </c>
      <c r="E21" s="8">
        <f>MAX('Ads'!E22:E28)</f>
        <v>1.4</v>
      </c>
      <c r="F21" s="16" t="str">
        <f>IF(E21&lt;=D21,"PASS","FAIL")</f>
        <v>PASS</v>
      </c>
      <c r="H21" t="s">
        <v>994</v>
      </c>
      <c r="I21" s="2" t="s">
        <v>1020</v>
      </c>
    </row>
    <row r="22" spans="1:9" ht="46" customHeight="1">
      <c r="A22" t="s">
        <v>1017</v>
      </c>
      <c r="B22" t="s">
        <v>1021</v>
      </c>
      <c r="C22" t="s">
        <v>1022</v>
      </c>
      <c r="D22" s="6">
        <v>1.25</v>
      </c>
      <c r="E22" s="8">
        <f>MAX('Career Tables'!K117:K120)</f>
        <v>1.0723039215686274</v>
      </c>
      <c r="F22" s="16" t="str">
        <f>IF(E22&lt;=D22,"PASS","FAIL")</f>
        <v>PASS</v>
      </c>
      <c r="H22" t="s">
        <v>1001</v>
      </c>
      <c r="I22" s="2" t="s">
        <v>1023</v>
      </c>
    </row>
    <row r="23" spans="1:9" ht="46" customHeight="1">
      <c r="A23" t="s">
        <v>1017</v>
      </c>
      <c r="B23" t="s">
        <v>1024</v>
      </c>
      <c r="C23" t="s">
        <v>1025</v>
      </c>
      <c r="D23" s="7">
        <v>0.5</v>
      </c>
      <c r="E23" s="13">
        <f>'Ads'!I3+'Ads'!I4+'Ads'!I5+'Ads'!I6+'Ads'!I7+'Ads'!I8+'Ads'!I9+'Ads'!I10</f>
        <v>0.29772619739114714</v>
      </c>
      <c r="F23" s="16" t="str">
        <f>IF(E23&lt;=D23,"PASS","FAIL")</f>
        <v>PASS</v>
      </c>
      <c r="H23" t="s">
        <v>959</v>
      </c>
      <c r="I23" s="2" t="s">
        <v>1026</v>
      </c>
    </row>
    <row r="25" spans="1:9">
      <c r="A25" s="3" t="s">
        <v>1027</v>
      </c>
      <c r="B25" s="3"/>
      <c r="C25" s="3"/>
      <c r="D25" s="3"/>
      <c r="E25" s="3"/>
      <c r="F25" s="3"/>
      <c r="G25" s="3"/>
      <c r="H25" s="3"/>
      <c r="I25" s="3"/>
    </row>
    <row r="26" spans="1:9">
      <c r="A26" s="3"/>
      <c r="B26" s="3"/>
      <c r="C26" s="3"/>
      <c r="D26" s="3"/>
      <c r="E26" s="3"/>
      <c r="F26" s="3"/>
      <c r="G26" s="3"/>
      <c r="H26" s="3"/>
      <c r="I26" s="3"/>
    </row>
    <row r="27" spans="1:9">
      <c r="A27" s="3"/>
      <c r="B27" s="3"/>
      <c r="C27" s="3"/>
      <c r="D27" s="3"/>
      <c r="E27" s="3"/>
      <c r="F27" s="3"/>
      <c r="G27" s="3"/>
      <c r="H27" s="3"/>
      <c r="I27" s="3"/>
    </row>
    <row r="28" spans="1:9">
      <c r="A28" s="3"/>
      <c r="B28" s="3"/>
      <c r="C28" s="3"/>
      <c r="D28" s="3"/>
      <c r="E28" s="3"/>
      <c r="F28" s="3"/>
      <c r="G28" s="3"/>
      <c r="H28" s="3"/>
      <c r="I28" s="3"/>
    </row>
    <row r="29" spans="1:9">
      <c r="A29" s="3"/>
      <c r="B29" s="3"/>
      <c r="C29" s="3"/>
      <c r="D29" s="3"/>
      <c r="E29" s="3"/>
      <c r="F29" s="3"/>
      <c r="G29" s="3"/>
      <c r="H29" s="3"/>
      <c r="I29" s="3"/>
    </row>
  </sheetData>
  <mergeCells count="1">
    <mergeCell ref="A25:I29"/>
  </mergeCells>
  <conditionalFormatting sqref="F2:F23">
    <cfRule type="cellIs" dxfId="0" priority="1" operator="equal">
      <formula>"PASS"</formula>
    </cfRule>
    <cfRule type="cellIs" dxfId="1" priority="2" operator="equal">
      <formula>"FAIL"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Start Here</vt:lpstr>
      <vt:lpstr>Source Outputs</vt:lpstr>
      <vt:lpstr>Sources</vt:lpstr>
      <vt:lpstr>Goals</vt:lpstr>
      <vt:lpstr>Sinks</vt:lpstr>
      <vt:lpstr>Store Value</vt:lpstr>
      <vt:lpstr>Career and Cards</vt:lpstr>
      <vt:lpstr>90 Day Ledger</vt:lpstr>
      <vt:lpstr>Checks and Limits</vt:lpstr>
      <vt:lpstr>Coming Back</vt:lpstr>
      <vt:lpstr>Come Back Sources</vt:lpstr>
      <vt:lpstr>Club Income</vt:lpstr>
      <vt:lpstr>Portal</vt:lpstr>
      <vt:lpstr>Career By Season</vt:lpstr>
      <vt:lpstr>Career Tables</vt:lpstr>
      <vt:lpstr>Ads</vt:lpstr>
      <vt:lpstr>Balance Checks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Blocky League economy review</dc:title>
  <dc:subject>Time, coins, gems and transparent store value</dc:subject>
  <dc:creator>Blocky League</dc:creator>
  <dc:description>Planning scenarios based on source rules. Not player telemetry.</dc:description>
  <cp:lastModifiedBy>Blocky League</cp:lastModifiedBy>
  <dcterms:created xsi:type="dcterms:W3CDTF">2026-10-13T16:00:04Z</dcterms:created>
  <dcterms:modified xsi:type="dcterms:W3CDTF">2026-10-13T16:00:04Z</dcterms:modified>
</cp:coreProperties>
</file>