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Source Outputs" sheetId="2" r:id="rId2"/>
    <sheet name="Sources" sheetId="3" r:id="rId3"/>
    <sheet name="Goals" sheetId="4" r:id="rId4"/>
    <sheet name="Sinks" sheetId="5" r:id="rId5"/>
    <sheet name="Store Value" sheetId="6" r:id="rId6"/>
    <sheet name="Career and Cards" sheetId="7" r:id="rId7"/>
    <sheet name="90 Day Ledger" sheetId="8" r:id="rId8"/>
    <sheet name="Checks and Limits" sheetId="9" r:id="rId9"/>
    <sheet name="Coming Back" sheetId="10" r:id="rId10"/>
    <sheet name="Come Back Sources" sheetId="11" r:id="rId11"/>
    <sheet name="Club Income" sheetId="12" r:id="rId12"/>
    <sheet name="Portal" sheetId="13" r:id="rId13"/>
  </sheets>
  <definedNames>
    <definedName name="_xlnm._FilterDatabase" localSheetId="7" hidden="1">'90 Day Ledger'!$A$1:$J$451</definedName>
    <definedName name="_xlnm._FilterDatabase" localSheetId="9" hidden="1">'Coming Back'!$A$1:$L$21</definedName>
    <definedName name="_xlnm._FilterDatabase" localSheetId="3" hidden="1">Goals!$A$1:$K$36</definedName>
    <definedName name="_xlnm._FilterDatabase" localSheetId="4" hidden="1">Sinks!$A$1:$F$150</definedName>
    <definedName name="_xlnm._FilterDatabase" localSheetId="1" hidden="1">'Source Outputs'!$A$1:$I$26</definedName>
    <definedName name="_xlnm._FilterDatabase" localSheetId="2" hidden="1">Sources!$A$1:$E$126</definedName>
  </definedNames>
  <calcPr calcId="124519" fullCalcOnLoad="1"/>
</workbook>
</file>

<file path=xl/sharedStrings.xml><?xml version="1.0" encoding="utf-8"?>
<sst xmlns="http://schemas.openxmlformats.org/spreadsheetml/2006/main" count="2551" uniqueCount="664">
  <si>
    <t>BLOCKY LEAGUE · ECONOMY REVIEW</t>
  </si>
  <si>
    <t>The game has a viable free route. Fix repeat payouts and card-sale inflation before raising prices. Coins develop the club; gems buy guaranteed identities, permanent passes and optional shortcuts.</t>
  </si>
  <si>
    <t>HOW TO USE: blue cells in Goals are editable. Green cells recalculate saving time. Source Outputs show exact seeded model results; they do not change when you edit a planning assumption.</t>
  </si>
  <si>
    <t>WHAT THIS IS: a repeatable planning model, not measured retention, conversion, profit or proof that the game feels fun. Currency totals are gross earnings before spending.</t>
  </si>
  <si>
    <t>Scenario forecasts, not player telemetry, human playtests, revenue forecasts or complete-career simulations.</t>
  </si>
  <si>
    <t>Six minutes per match: four playing minutes at the default two-minute halves, plus an assumed two minutes of menus, stoppages and scenes. Ad watch time excluded.</t>
  </si>
  <si>
    <t>Results are seeded with stated win/draw rates. Statistics are assumed; classic matches only, so Blitz and Hard challenges may remain incomplete.</t>
  </si>
  <si>
    <t>All reached free rewards are claimed, and players select each next Journey after completing one. No paid passes, purchases, referrals or gem spending in base cases.</t>
  </si>
  <si>
    <t>Two live objectives per match are assumed (25 coins, 13 XP); no atmosphere boost. Two keeper saves per match; 20% of matches are assumed A-grade (+5% match coins), all others receive no grade bonus. All income uses actual rule functions.</t>
  </si>
  <si>
    <t>Coin totals are cumulative gross earning, including the 500-coin welcome, NOT spendable balances after club purchases. Each goal is estimated independently.</t>
  </si>
  <si>
    <t>Free packs are availability counts, not assumed claims. Earned ticket counts exclude the starting two. Both are tracked separately; cards can improve squads or be sold, not both. Resale table estimates their additional value at fixed squad ratings.</t>
  </si>
  <si>
    <t>Career prizes, board objectives, academy sales, sponsorship, commercial income, renewals and development spending are separate from these shared-loop scenarios.</t>
  </si>
  <si>
    <t>No-ads and paid-doubler regular cases use identical results/random seeds. Optional ads case assumes one gem ad, gift ad and match ad per active day, no five-per-day coin-ad grind.</t>
  </si>
  <si>
    <t>Ranges show 20 deterministic seeds at the stated assumptions; they are sensitivity ranges, not statistical confidence intervals.</t>
  </si>
  <si>
    <t>Coming back (14 October 2026): the welcome week and the play streak are claimed on every day played; the MATCH OF THE DAY is completed on 40% (Learning), 60% (Casual), 75% (Regular) or 90% (Keen) of them. Looks handed over are counted at their shop price as looks, never as coins.</t>
  </si>
  <si>
    <t>Club income: the modelled club puts 40% of every coin earned into its ground (cheapest part first, one build at a time, a league matchday on every day played) and its commercial manager; the ticket office is collected once on a day played (Keen: twice). No stadium style is bought, so the atmosphere is the ground's own.</t>
  </si>
  <si>
    <t>Portal profiles (CrazyGames, Poki): nothing is sold. Casual takes one FREE GEMS offer a visit; Keen takes every FREE GEMS offer, the doubled gift, one match bonus and two FREE COINS a day. Days to afford run a 365 day horizon and assume nothing else is bought with that currency.</t>
  </si>
  <si>
    <t>Regenerate: npm run economy:model, then run scripts/economy-workbook.py with Python + xlsxwriter. Review after changes to rewards, match length, player progression or purchases. No monthly content update is required by the twelve permanent Journeys.</t>
  </si>
  <si>
    <t>14 October 2026, coming back: the sheets Coming Back, Come Back Sources, Club Income and Portal show the welcome week, the play streak, the match of the day and club income, each profile before and after, and what a portal player (nothing for sale) can afford and when.</t>
  </si>
  <si>
    <t>Profile</t>
  </si>
  <si>
    <t>Day</t>
  </si>
  <si>
    <t>Matches</t>
  </si>
  <si>
    <t>Play minutes*</t>
  </si>
  <si>
    <t>Gross coins</t>
  </si>
  <si>
    <t>Gross gems</t>
  </si>
  <si>
    <t>Tickets earned</t>
  </si>
  <si>
    <t>Free packs available</t>
  </si>
  <si>
    <t>Journeys completed</t>
  </si>
  <si>
    <t>Learning, no ads</t>
  </si>
  <si>
    <t>Casual, no ads</t>
  </si>
  <si>
    <t>Regular, no ads</t>
  </si>
  <si>
    <t>Keen, optional ads</t>
  </si>
  <si>
    <t>Regular + paid Coin Doubler</t>
  </si>
  <si>
    <t>*Includes assumed scene/menu time; excludes ad duration.</t>
  </si>
  <si>
    <t>Currency</t>
  </si>
  <si>
    <t>Source</t>
  </si>
  <si>
    <t>90-day amount</t>
  </si>
  <si>
    <t>Source scope</t>
  </si>
  <si>
    <t>Coins</t>
  </si>
  <si>
    <t>welcome</t>
  </si>
  <si>
    <t>Shared play loops; career and card sales shown separately</t>
  </si>
  <si>
    <t>matches</t>
  </si>
  <si>
    <t>calendar</t>
  </si>
  <si>
    <t>daily</t>
  </si>
  <si>
    <t>weekly</t>
  </si>
  <si>
    <t>live</t>
  </si>
  <si>
    <t>skill</t>
  </si>
  <si>
    <t>mastery</t>
  </si>
  <si>
    <t>journeys</t>
  </si>
  <si>
    <t>matchAds</t>
  </si>
  <si>
    <t>coinAds</t>
  </si>
  <si>
    <t>streak</t>
  </si>
  <si>
    <t>matchOfDay</t>
  </si>
  <si>
    <t>clubIncome</t>
  </si>
  <si>
    <t>Gems</t>
  </si>
  <si>
    <t>sweep</t>
  </si>
  <si>
    <t>levels</t>
  </si>
  <si>
    <t>achievements</t>
  </si>
  <si>
    <t>ads</t>
  </si>
  <si>
    <t>welcomeWeek</t>
  </si>
  <si>
    <t>Goal</t>
  </si>
  <si>
    <t>Cost</t>
  </si>
  <si>
    <t>Starting balance</t>
  </si>
  <si>
    <t>Gross/day (days31–90)</t>
  </si>
  <si>
    <t>Share saved for goal</t>
  </si>
  <si>
    <t>Planning days</t>
  </si>
  <si>
    <t>Planning matches</t>
  </si>
  <si>
    <t>Matches / week</t>
  </si>
  <si>
    <t>Exact no-spend model day</t>
  </si>
  <si>
    <t>Main stand</t>
  </si>
  <si>
    <t>coins</t>
  </si>
  <si>
    <t>Youth academy</t>
  </si>
  <si>
    <t>Legendary cosmetic</t>
  </si>
  <si>
    <t>Whole ground</t>
  </si>
  <si>
    <t>Local scouting network</t>
  </si>
  <si>
    <t>gems</t>
  </si>
  <si>
    <t>Signature / permanent pass</t>
  </si>
  <si>
    <t>Beyond 90 days</t>
  </si>
  <si>
    <t>All scouting networks</t>
  </si>
  <si>
    <t>Each goal is independent. Add build time (1–2 league matchdays) and compete with other spending. Planning days use a steady-rate approximation, not the exact curve.</t>
  </si>
  <si>
    <t>Category</t>
  </si>
  <si>
    <t>ID</t>
  </si>
  <si>
    <t>Item</t>
  </si>
  <si>
    <t>Build matchdays</t>
  </si>
  <si>
    <t>Staff</t>
  </si>
  <si>
    <t>assistant:1</t>
  </si>
  <si>
    <t>ASSISTANT COACH 1</t>
  </si>
  <si>
    <t>assistant:2</t>
  </si>
  <si>
    <t>ASSISTANT COACH 2</t>
  </si>
  <si>
    <t>assistant:3</t>
  </si>
  <si>
    <t>ASSISTANT COACH 3</t>
  </si>
  <si>
    <t>physio:1</t>
  </si>
  <si>
    <t>PHYSIO 1</t>
  </si>
  <si>
    <t>physio:2</t>
  </si>
  <si>
    <t>PHYSIO 2</t>
  </si>
  <si>
    <t>physio:3</t>
  </si>
  <si>
    <t>PHYSIO 3</t>
  </si>
  <si>
    <t>scout1:1</t>
  </si>
  <si>
    <t>SCOUT 1</t>
  </si>
  <si>
    <t>scout1:2</t>
  </si>
  <si>
    <t>SCOUT 2</t>
  </si>
  <si>
    <t>scout1:3</t>
  </si>
  <si>
    <t>SCOUT 3</t>
  </si>
  <si>
    <t>scout2:1</t>
  </si>
  <si>
    <t>SECOND SCOUT 1</t>
  </si>
  <si>
    <t>scout2:2</t>
  </si>
  <si>
    <t>SECOND SCOUT 2</t>
  </si>
  <si>
    <t>scout2:3</t>
  </si>
  <si>
    <t>SECOND SCOUT 3</t>
  </si>
  <si>
    <t>academy:1</t>
  </si>
  <si>
    <t>ACADEMY DIRECTOR 1</t>
  </si>
  <si>
    <t>academy:2</t>
  </si>
  <si>
    <t>ACADEMY DIRECTOR 2</t>
  </si>
  <si>
    <t>academy:3</t>
  </si>
  <si>
    <t>ACADEMY DIRECTOR 3</t>
  </si>
  <si>
    <t>commercial:1</t>
  </si>
  <si>
    <t>COMMERCIAL MANAGER 1</t>
  </si>
  <si>
    <t>commercial:2</t>
  </si>
  <si>
    <t>COMMERCIAL MANAGER 2</t>
  </si>
  <si>
    <t>commercial:3</t>
  </si>
  <si>
    <t>COMMERCIAL MANAGER 3</t>
  </si>
  <si>
    <t>Ground</t>
  </si>
  <si>
    <t>main:1</t>
  </si>
  <si>
    <t>MAIN STAND</t>
  </si>
  <si>
    <t>main:2</t>
  </si>
  <si>
    <t>UPPER TIER</t>
  </si>
  <si>
    <t>near:1</t>
  </si>
  <si>
    <t>FAMILY STAND</t>
  </si>
  <si>
    <t>near:2</t>
  </si>
  <si>
    <t>FULL LENGTH</t>
  </si>
  <si>
    <t>lights:1</t>
  </si>
  <si>
    <t>FLOODLIGHTS</t>
  </si>
  <si>
    <t>north:1</t>
  </si>
  <si>
    <t>NORTH END</t>
  </si>
  <si>
    <t>south:1</t>
  </si>
  <si>
    <t>SOUTH END</t>
  </si>
  <si>
    <t>roof:1</t>
  </si>
  <si>
    <t>THE DOME</t>
  </si>
  <si>
    <t>screen:1</t>
  </si>
  <si>
    <t>BIG SCREEN</t>
  </si>
  <si>
    <t>store:1</t>
  </si>
  <si>
    <t>MEGASTORE</t>
  </si>
  <si>
    <t>fanzone:1</t>
  </si>
  <si>
    <t>FAN ZONE</t>
  </si>
  <si>
    <t>training:1</t>
  </si>
  <si>
    <t>TRAINING GROUND</t>
  </si>
  <si>
    <t>YOUTH ACADEMY</t>
  </si>
  <si>
    <t>celebration</t>
  </si>
  <si>
    <t>celebration:knee</t>
  </si>
  <si>
    <t>Knee slide</t>
  </si>
  <si>
    <t>celebration:shush</t>
  </si>
  <si>
    <t>Shush</t>
  </si>
  <si>
    <t>celebration:plane</t>
  </si>
  <si>
    <t>Aeroplane</t>
  </si>
  <si>
    <t>celebration:robot</t>
  </si>
  <si>
    <t>Robot</t>
  </si>
  <si>
    <t>celebration:backflip</t>
  </si>
  <si>
    <t>Backflip</t>
  </si>
  <si>
    <t>celebration:pile</t>
  </si>
  <si>
    <t>Pile on</t>
  </si>
  <si>
    <t>ball</t>
  </si>
  <si>
    <t>ball:retro</t>
  </si>
  <si>
    <t>Retro</t>
  </si>
  <si>
    <t>ball:beach</t>
  </si>
  <si>
    <t>Beach</t>
  </si>
  <si>
    <t>ball:melon</t>
  </si>
  <si>
    <t>Melon</t>
  </si>
  <si>
    <t>ball:blaze</t>
  </si>
  <si>
    <t>Blaze</t>
  </si>
  <si>
    <t>ball:hoops</t>
  </si>
  <si>
    <t>Hoops</t>
  </si>
  <si>
    <t>ball:eight</t>
  </si>
  <si>
    <t>Eight</t>
  </si>
  <si>
    <t>ball:ice</t>
  </si>
  <si>
    <t>Ice</t>
  </si>
  <si>
    <t>ball:neon</t>
  </si>
  <si>
    <t>Neon</t>
  </si>
  <si>
    <t>ball:moon</t>
  </si>
  <si>
    <t>Moon</t>
  </si>
  <si>
    <t>ball:disco</t>
  </si>
  <si>
    <t>Disco</t>
  </si>
  <si>
    <t>ball:gold</t>
  </si>
  <si>
    <t>Gold</t>
  </si>
  <si>
    <t>ball:planet</t>
  </si>
  <si>
    <t>Planet</t>
  </si>
  <si>
    <t>ball:diamond</t>
  </si>
  <si>
    <t>Diamond</t>
  </si>
  <si>
    <t>goalfx</t>
  </si>
  <si>
    <t>goalfx:shockwave</t>
  </si>
  <si>
    <t>Shockwave</t>
  </si>
  <si>
    <t>goalfx:balloons</t>
  </si>
  <si>
    <t>Balloon Party</t>
  </si>
  <si>
    <t>goalfx:confetti</t>
  </si>
  <si>
    <t>Confetti Cannons</t>
  </si>
  <si>
    <t>goalfx:popcorn</t>
  </si>
  <si>
    <t>Popcorn</t>
  </si>
  <si>
    <t>goalfx:gold</t>
  </si>
  <si>
    <t>Gold Rush</t>
  </si>
  <si>
    <t>goalfx:ice</t>
  </si>
  <si>
    <t>Frostbite</t>
  </si>
  <si>
    <t>goalfx:pinata</t>
  </si>
  <si>
    <t>Pinata</t>
  </si>
  <si>
    <t>goalfx:fire</t>
  </si>
  <si>
    <t>Inferno</t>
  </si>
  <si>
    <t>goalfx:rainbow</t>
  </si>
  <si>
    <t>Rainbow</t>
  </si>
  <si>
    <t>goalfx:neon</t>
  </si>
  <si>
    <t>Neon Disco</t>
  </si>
  <si>
    <t>goalfx:fireworks</t>
  </si>
  <si>
    <t>Fireworks</t>
  </si>
  <si>
    <t>goalfx:volcano</t>
  </si>
  <si>
    <t>Volcano</t>
  </si>
  <si>
    <t>goalfx:lightning</t>
  </si>
  <si>
    <t>Thunderbolt</t>
  </si>
  <si>
    <t>goalfx:galaxy</t>
  </si>
  <si>
    <t>Black Hole</t>
  </si>
  <si>
    <t>goalfx:meteor</t>
  </si>
  <si>
    <t>Meteor Strike</t>
  </si>
  <si>
    <t>goalfx:diamond</t>
  </si>
  <si>
    <t>Diamond Rain</t>
  </si>
  <si>
    <t>goalfx:supernova</t>
  </si>
  <si>
    <t>Supernova</t>
  </si>
  <si>
    <t>trail</t>
  </si>
  <si>
    <t>trail:toon</t>
  </si>
  <si>
    <t>Toon Dash</t>
  </si>
  <si>
    <t>trail:hearts</t>
  </si>
  <si>
    <t>Hearts</t>
  </si>
  <si>
    <t>trail:pink</t>
  </si>
  <si>
    <t>Bubblegum</t>
  </si>
  <si>
    <t>trail:popcorn</t>
  </si>
  <si>
    <t>trail:notes</t>
  </si>
  <si>
    <t>Music Notes</t>
  </si>
  <si>
    <t>trail:lime</t>
  </si>
  <si>
    <t>Slime</t>
  </si>
  <si>
    <t>trail:ice</t>
  </si>
  <si>
    <t>Ice Trail</t>
  </si>
  <si>
    <t>trail:fire</t>
  </si>
  <si>
    <t>Afterburner</t>
  </si>
  <si>
    <t>trail:gold</t>
  </si>
  <si>
    <t>Golden Boots</t>
  </si>
  <si>
    <t>trail:glitch</t>
  </si>
  <si>
    <t>Glitch</t>
  </si>
  <si>
    <t>trail:rainbow</t>
  </si>
  <si>
    <t>Rainbow Ribbon</t>
  </si>
  <si>
    <t>trail:lightning</t>
  </si>
  <si>
    <t>Lightning</t>
  </si>
  <si>
    <t>trail:comet</t>
  </si>
  <si>
    <t>Comet Tail</t>
  </si>
  <si>
    <t>kit</t>
  </si>
  <si>
    <t>kit:zigzag</t>
  </si>
  <si>
    <t>Zigzag</t>
  </si>
  <si>
    <t>kit:checker</t>
  </si>
  <si>
    <t>Checkerboard</t>
  </si>
  <si>
    <t>kit:camo</t>
  </si>
  <si>
    <t>Arctic Camo</t>
  </si>
  <si>
    <t>kit:tiger</t>
  </si>
  <si>
    <t>Tiger</t>
  </si>
  <si>
    <t>kit:fade</t>
  </si>
  <si>
    <t>Sunset Fade</t>
  </si>
  <si>
    <t>kit:retro</t>
  </si>
  <si>
    <t>Retro 80s</t>
  </si>
  <si>
    <t>kit:crest</t>
  </si>
  <si>
    <t>Big Crest</t>
  </si>
  <si>
    <t>kit:inferno</t>
  </si>
  <si>
    <t>kit:bolt</t>
  </si>
  <si>
    <t>Thunder</t>
  </si>
  <si>
    <t>kit:iceking</t>
  </si>
  <si>
    <t>Ice King</t>
  </si>
  <si>
    <t>kit:holo</t>
  </si>
  <si>
    <t>Hologram</t>
  </si>
  <si>
    <t>kit:galaxy</t>
  </si>
  <si>
    <t>Galaxy</t>
  </si>
  <si>
    <t>kit:pinstripe</t>
  </si>
  <si>
    <t>Gold Pinstripe</t>
  </si>
  <si>
    <t>kit:neonglow</t>
  </si>
  <si>
    <t>Glow In The Dark</t>
  </si>
  <si>
    <t>kit:goldfoil</t>
  </si>
  <si>
    <t>Gold Foil</t>
  </si>
  <si>
    <t>look</t>
  </si>
  <si>
    <t>look:bun</t>
  </si>
  <si>
    <t>Top Bun</t>
  </si>
  <si>
    <t>look:tips</t>
  </si>
  <si>
    <t>Frosted Tips</t>
  </si>
  <si>
    <t>look:mohawk</t>
  </si>
  <si>
    <t>Mohawk</t>
  </si>
  <si>
    <t>look:afro</t>
  </si>
  <si>
    <t>Big Afro</t>
  </si>
  <si>
    <t>look:spikes</t>
  </si>
  <si>
    <t>Super Spikes</t>
  </si>
  <si>
    <t>look:flamehair</t>
  </si>
  <si>
    <t>Flame Hair</t>
  </si>
  <si>
    <t>look:headband</t>
  </si>
  <si>
    <t>Headband</t>
  </si>
  <si>
    <t>look:sweatband</t>
  </si>
  <si>
    <t>Sweatbands</t>
  </si>
  <si>
    <t>look:halo</t>
  </si>
  <si>
    <t>Halo</t>
  </si>
  <si>
    <t>look:icecrown</t>
  </si>
  <si>
    <t>Ice Crown</t>
  </si>
  <si>
    <t>look:crown</t>
  </si>
  <si>
    <t>Crown</t>
  </si>
  <si>
    <t>look:armband</t>
  </si>
  <si>
    <t>Captain Armband</t>
  </si>
  <si>
    <t>look:armrainbow</t>
  </si>
  <si>
    <t>Rainbow Armband</t>
  </si>
  <si>
    <t>look:armgold</t>
  </si>
  <si>
    <t>Gold Armband</t>
  </si>
  <si>
    <t>look:bootneon</t>
  </si>
  <si>
    <t>Neon Boots</t>
  </si>
  <si>
    <t>look:bootgold</t>
  </si>
  <si>
    <t>Gold Boots</t>
  </si>
  <si>
    <t>look:bootlight</t>
  </si>
  <si>
    <t>Light Up Boots</t>
  </si>
  <si>
    <t>look:glovepro</t>
  </si>
  <si>
    <t>Pro Gloves</t>
  </si>
  <si>
    <t>look:glovefire</t>
  </si>
  <si>
    <t>Fire Gloves</t>
  </si>
  <si>
    <t>look:glovegold</t>
  </si>
  <si>
    <t>Gold Gloves</t>
  </si>
  <si>
    <t>look:shades</t>
  </si>
  <si>
    <t>Shades</t>
  </si>
  <si>
    <t>look:shadestar</t>
  </si>
  <si>
    <t>Star Shades</t>
  </si>
  <si>
    <t>look:shadegold</t>
  </si>
  <si>
    <t>Gold Shades</t>
  </si>
  <si>
    <t>decor</t>
  </si>
  <si>
    <t>decor:mowchecks</t>
  </si>
  <si>
    <t>Mown Checks</t>
  </si>
  <si>
    <t>decor:mowdiag</t>
  </si>
  <si>
    <t>Diagonal Stripes</t>
  </si>
  <si>
    <t>decor:mowcircle</t>
  </si>
  <si>
    <t>Mown Circles</t>
  </si>
  <si>
    <t>decor:mowcrest</t>
  </si>
  <si>
    <t>Centre Crest</t>
  </si>
  <si>
    <t>decor:netclub</t>
  </si>
  <si>
    <t>Club Nets</t>
  </si>
  <si>
    <t>decor:nethex</t>
  </si>
  <si>
    <t>Hex Nets</t>
  </si>
  <si>
    <t>decor:netrainbow</t>
  </si>
  <si>
    <t>Rainbow Nets</t>
  </si>
  <si>
    <t>decor:netglow</t>
  </si>
  <si>
    <t>Neon Nets</t>
  </si>
  <si>
    <t>decor:flagclub</t>
  </si>
  <si>
    <t>Club Flags</t>
  </si>
  <si>
    <t>decor:flagcheck</t>
  </si>
  <si>
    <t>Chequered Flags</t>
  </si>
  <si>
    <t>decor:flagfire</t>
  </si>
  <si>
    <t>Flame Flags</t>
  </si>
  <si>
    <t>decor:seatname</t>
  </si>
  <si>
    <t>Name In The Seats</t>
  </si>
  <si>
    <t>decor:tifoflags</t>
  </si>
  <si>
    <t>Flag Wave</t>
  </si>
  <si>
    <t>decor:tifobig</t>
  </si>
  <si>
    <t>Giant Tifo</t>
  </si>
  <si>
    <t>decor:kickconfetti</t>
  </si>
  <si>
    <t>decor:kickfire</t>
  </si>
  <si>
    <t>Fireworks Show</t>
  </si>
  <si>
    <t>decor:kickpyro</t>
  </si>
  <si>
    <t>Pyro Show</t>
  </si>
  <si>
    <t>decor:lightclub</t>
  </si>
  <si>
    <t>Club Floodlights</t>
  </si>
  <si>
    <t>decor:lightshow</t>
  </si>
  <si>
    <t>Light Show</t>
  </si>
  <si>
    <t>decor:mascotbear</t>
  </si>
  <si>
    <t>Bear Mascot</t>
  </si>
  <si>
    <t>decor:mascotrobot</t>
  </si>
  <si>
    <t>Robo Mascot</t>
  </si>
  <si>
    <t>decor:mascotdragon</t>
  </si>
  <si>
    <t>Dragon Mascot</t>
  </si>
  <si>
    <t>Gem sink</t>
  </si>
  <si>
    <t>scoutNetwork:1</t>
  </si>
  <si>
    <t>SCOUTING NETWORK 1</t>
  </si>
  <si>
    <t>scoutNetwork:2</t>
  </si>
  <si>
    <t>SCOUTING NETWORK 2</t>
  </si>
  <si>
    <t>scoutNetwork:3</t>
  </si>
  <si>
    <t>SCOUTING NETWORK 3</t>
  </si>
  <si>
    <t>finishBuildPerMatchday</t>
  </si>
  <si>
    <t>healPlayer</t>
  </si>
  <si>
    <t>replayMatch</t>
  </si>
  <si>
    <t>clubPass</t>
  </si>
  <si>
    <t>signatureCollection</t>
  </si>
  <si>
    <t>dealRefresh</t>
  </si>
  <si>
    <t>Product</t>
  </si>
  <si>
    <t>Type</t>
  </si>
  <si>
    <t>Reference US price</t>
  </si>
  <si>
    <t>Normal gems</t>
  </si>
  <si>
    <t>First-buy gems</t>
  </si>
  <si>
    <t>Normal gems / US$</t>
  </si>
  <si>
    <t>First gems / US$</t>
  </si>
  <si>
    <t>bl.gems.100</t>
  </si>
  <si>
    <t>consumable</t>
  </si>
  <si>
    <t>bl.gems.300</t>
  </si>
  <si>
    <t>bl.gems.500</t>
  </si>
  <si>
    <t>bl.gems.1000</t>
  </si>
  <si>
    <t>bl.gems.2000</t>
  </si>
  <si>
    <t>bl.starter</t>
  </si>
  <si>
    <t>non-consumable</t>
  </si>
  <si>
    <t>bl.noads</t>
  </si>
  <si>
    <t>bl.pass</t>
  </si>
  <si>
    <t>bl.doubler</t>
  </si>
  <si>
    <t>bl.pro</t>
  </si>
  <si>
    <t>Reference USD pricing is not a localized StoreKit quote. The actual store price wins. First-buy bonuses are one-time per pack. Do not claim a blanket best value or fixed percentage saving across currencies. Native IAP product setup and real purchase validation remain release prerequisites.</t>
  </si>
  <si>
    <t>Permanent pass: 600 gems or reference US$3.99, grants 5,560 coins + 150 gems + 6 items after all tiers. First 660-gem pack costs US$2.99, so the direct cash pass is not always cheapest. Signature collection gives all six items immediately, with no currency rewards.</t>
  </si>
  <si>
    <t>Division / squad OVR</t>
  </si>
  <si>
    <t>Stadium / kind</t>
  </si>
  <si>
    <t>Two-goal win / mean resale</t>
  </si>
  <si>
    <t>20-goal win / min resale</t>
  </si>
  <si>
    <t>Max resale</t>
  </si>
  <si>
    <t>Notes</t>
  </si>
  <si>
    <t>Base fee before streak, club boosts, side rewards and spending</t>
  </si>
  <si>
    <t>Scout card</t>
  </si>
  <si>
    <t>1,000 draws. Previous uncapped mean: 205.6. Sell or use for squad, never both.</t>
  </si>
  <si>
    <t>1,000 draws. Previous uncapped mean: 502.4. Sell or use for squad, never both.</t>
  </si>
  <si>
    <t>1,000 draws. Previous uncapped mean: 945.4. Sell or use for squad, never both.</t>
  </si>
  <si>
    <t>Commercial level 1</t>
  </si>
  <si>
    <t>Fee 400</t>
  </si>
  <si>
    <t>Wage 10</t>
  </si>
  <si>
    <t>Home +40</t>
  </si>
  <si>
    <t>Net per league match before sponsor, assuming half home.</t>
  </si>
  <si>
    <t>Commercial level 2</t>
  </si>
  <si>
    <t>Fee 1000</t>
  </si>
  <si>
    <t>Wage 24</t>
  </si>
  <si>
    <t>Home +90</t>
  </si>
  <si>
    <t>Commercial level 3</t>
  </si>
  <si>
    <t>Fee 2000</t>
  </si>
  <si>
    <t>Wage 40</t>
  </si>
  <si>
    <t>Home +170</t>
  </si>
  <si>
    <t>Career cashflow also includes sponsor and commercial income, cup/season/board prizes and player sales; staff wages, renewals, training and purchases consume it. These variable choices are not included in the shared-loop totals. Full care is taken to keep prize multipliers separate.</t>
  </si>
  <si>
    <t>Date</t>
  </si>
  <si>
    <t>Minutes</t>
  </si>
  <si>
    <t>Tickets</t>
  </si>
  <si>
    <t>Free packs</t>
  </si>
  <si>
    <t>Journeys</t>
  </si>
  <si>
    <t>2026-10-05</t>
  </si>
  <si>
    <t>2026-10-06</t>
  </si>
  <si>
    <t>2026-10-07</t>
  </si>
  <si>
    <t>2026-10-08</t>
  </si>
  <si>
    <t>2026-10-09</t>
  </si>
  <si>
    <t>2026-10-10</t>
  </si>
  <si>
    <t>2026-10-11</t>
  </si>
  <si>
    <t>2026-10-12</t>
  </si>
  <si>
    <t>2026-10-13</t>
  </si>
  <si>
    <t>2026-10-14</t>
  </si>
  <si>
    <t>2026-10-15</t>
  </si>
  <si>
    <t>2026-10-16</t>
  </si>
  <si>
    <t>2026-10-17</t>
  </si>
  <si>
    <t>2026-10-18</t>
  </si>
  <si>
    <t>2026-10-19</t>
  </si>
  <si>
    <t>2026-10-20</t>
  </si>
  <si>
    <t>2026-10-21</t>
  </si>
  <si>
    <t>2026-10-22</t>
  </si>
  <si>
    <t>2026-10-23</t>
  </si>
  <si>
    <t>2026-10-24</t>
  </si>
  <si>
    <t>2026-10-25</t>
  </si>
  <si>
    <t>2026-10-26</t>
  </si>
  <si>
    <t>2026-10-27</t>
  </si>
  <si>
    <t>2026-10-28</t>
  </si>
  <si>
    <t>2026-10-29</t>
  </si>
  <si>
    <t>2026-10-30</t>
  </si>
  <si>
    <t>2026-10-31</t>
  </si>
  <si>
    <t>2026-11-01</t>
  </si>
  <si>
    <t>2026-11-02</t>
  </si>
  <si>
    <t>2026-11-03</t>
  </si>
  <si>
    <t>2026-11-04</t>
  </si>
  <si>
    <t>2026-11-05</t>
  </si>
  <si>
    <t>2026-11-06</t>
  </si>
  <si>
    <t>2026-11-07</t>
  </si>
  <si>
    <t>2026-11-08</t>
  </si>
  <si>
    <t>2026-11-09</t>
  </si>
  <si>
    <t>2026-11-10</t>
  </si>
  <si>
    <t>2026-11-11</t>
  </si>
  <si>
    <t>2026-11-12</t>
  </si>
  <si>
    <t>2026-11-13</t>
  </si>
  <si>
    <t>2026-11-14</t>
  </si>
  <si>
    <t>2026-11-15</t>
  </si>
  <si>
    <t>2026-11-16</t>
  </si>
  <si>
    <t>2026-11-17</t>
  </si>
  <si>
    <t>2026-11-18</t>
  </si>
  <si>
    <t>2026-11-19</t>
  </si>
  <si>
    <t>2026-11-20</t>
  </si>
  <si>
    <t>2026-11-21</t>
  </si>
  <si>
    <t>2026-11-22</t>
  </si>
  <si>
    <t>2026-11-23</t>
  </si>
  <si>
    <t>2026-11-24</t>
  </si>
  <si>
    <t>2026-11-25</t>
  </si>
  <si>
    <t>2026-11-26</t>
  </si>
  <si>
    <t>2026-11-27</t>
  </si>
  <si>
    <t>2026-11-28</t>
  </si>
  <si>
    <t>2026-11-29</t>
  </si>
  <si>
    <t>2026-11-30</t>
  </si>
  <si>
    <t>2026-12-01</t>
  </si>
  <si>
    <t>2026-12-02</t>
  </si>
  <si>
    <t>2026-12-03</t>
  </si>
  <si>
    <t>2026-12-04</t>
  </si>
  <si>
    <t>2026-12-05</t>
  </si>
  <si>
    <t>2026-12-06</t>
  </si>
  <si>
    <t>2026-12-07</t>
  </si>
  <si>
    <t>2026-12-08</t>
  </si>
  <si>
    <t>2026-12-09</t>
  </si>
  <si>
    <t>2026-12-10</t>
  </si>
  <si>
    <t>2026-12-11</t>
  </si>
  <si>
    <t>2026-12-12</t>
  </si>
  <si>
    <t>2026-12-13</t>
  </si>
  <si>
    <t>2026-12-14</t>
  </si>
  <si>
    <t>2026-12-15</t>
  </si>
  <si>
    <t>2026-12-16</t>
  </si>
  <si>
    <t>2026-12-17</t>
  </si>
  <si>
    <t>2026-12-18</t>
  </si>
  <si>
    <t>2026-12-19</t>
  </si>
  <si>
    <t>2026-12-20</t>
  </si>
  <si>
    <t>2026-12-21</t>
  </si>
  <si>
    <t>2026-12-22</t>
  </si>
  <si>
    <t>2026-12-23</t>
  </si>
  <si>
    <t>2026-12-24</t>
  </si>
  <si>
    <t>2026-12-25</t>
  </si>
  <si>
    <t>2026-12-26</t>
  </si>
  <si>
    <t>2026-12-27</t>
  </si>
  <si>
    <t>2026-12-28</t>
  </si>
  <si>
    <t>2026-12-29</t>
  </si>
  <si>
    <t>2026-12-30</t>
  </si>
  <si>
    <t>2026-12-31</t>
  </si>
  <si>
    <t>2027-01-01</t>
  </si>
  <si>
    <t>2027-01-02</t>
  </si>
  <si>
    <t>Result / limit</t>
  </si>
  <si>
    <t>Source reconciliation</t>
  </si>
  <si>
    <t>Every model coin/gem source sums to its final total; deterministic seeds are repeatable.</t>
  </si>
  <si>
    <t>Modeled uncertainty</t>
  </si>
  <si>
    <t>20 seeds per profile. These are scenario sensitivity ranges, not confidence intervals.</t>
  </si>
  <si>
    <t>Referral promise</t>
  </si>
  <si>
    <t>1,000 coins + 50 gems for each qualifying side. Up to20 invited friends plus one welcome receipt; unchanged.</t>
  </si>
  <si>
    <t>Offline trust</t>
  </si>
  <si>
    <t>Local saves and device dates remain client-authoritative. Rewind protection closes simple reset farming; it is not server anti-cheat.</t>
  </si>
  <si>
    <t>Date correction</t>
  </si>
  <si>
    <t>A claim made with the phone clock in the future stays unavailable until its recorded day passes. A trusted-time recovery flow is not included.</t>
  </si>
  <si>
    <t>Native payments</t>
  </si>
  <si>
    <t>Production IAP products/ad units and end-to-end purchases must be configured and tested before public monetization.</t>
  </si>
  <si>
    <t>Evergreen limits</t>
  </si>
  <si>
    <t>The12 Journeys are permanent, finite content. Career play can continue; a finite shipped catalogue cannot guarantee endless demand or revenue.</t>
  </si>
  <si>
    <t>Visual QA</t>
  </si>
  <si>
    <t>This workbook and code/CLI checks do not constitute rendered or device visual testing.</t>
  </si>
  <si>
    <t>learning</t>
  </si>
  <si>
    <t>90-day range: 47,561–53,708 coins; 504–587 gems</t>
  </si>
  <si>
    <t>casual</t>
  </si>
  <si>
    <t>90-day range: 80,144–91,244 coins; 798–939 gems</t>
  </si>
  <si>
    <t>regular</t>
  </si>
  <si>
    <t>90-day range: 201,004–215,526 coins; 1,614–1,677 gems</t>
  </si>
  <si>
    <t>keen</t>
  </si>
  <si>
    <t>90-day range: 370,016–384,834 coins; 2,047–2,095 gems</t>
  </si>
  <si>
    <t>doubler</t>
  </si>
  <si>
    <t>90-day range: 229,842–250,040 coins; 1,614–1,677 gems</t>
  </si>
  <si>
    <t>Coins before</t>
  </si>
  <si>
    <t>Coins after</t>
  </si>
  <si>
    <t>Coins change</t>
  </si>
  <si>
    <t>Gems before</t>
  </si>
  <si>
    <t>Gems after</t>
  </si>
  <si>
    <t>Gems change</t>
  </si>
  <si>
    <t>Looks handed over (coin value)</t>
  </si>
  <si>
    <t>Ground level</t>
  </si>
  <si>
    <t>Office coins an hour</t>
  </si>
  <si>
    <t>Play streak day</t>
  </si>
  <si>
    <t>Before: the economy of 6 October 2026 (the same seeded matches, the come-back features off). After: the welcome week, the play streak, the match of the day and club income on, claimed as the assumptions on Start Here say. Gross earning before any spending. Looks are items from the shop at their coin price: they are not coins and are never counted as coins.</t>
  </si>
  <si>
    <t>Welcome week, calendar day</t>
  </si>
  <si>
    <t>Calendar coins</t>
  </si>
  <si>
    <t>Calendar gems</t>
  </si>
  <si>
    <t>Calendar tickets</t>
  </si>
  <si>
    <t>Extra gems, first time</t>
  </si>
  <si>
    <t>Extra tickets, first time</t>
  </si>
  <si>
    <t>Look, first time</t>
  </si>
  <si>
    <t>Look coin value (paid instead if owned)</t>
  </si>
  <si>
    <t>Day 1</t>
  </si>
  <si>
    <t>Day 2</t>
  </si>
  <si>
    <t>Melon (ball)</t>
  </si>
  <si>
    <t>Day 3</t>
  </si>
  <si>
    <t>Day 4</t>
  </si>
  <si>
    <t>Day 5</t>
  </si>
  <si>
    <t>Tiger (kit)</t>
  </si>
  <si>
    <t>Day 6</t>
  </si>
  <si>
    <t>Day 7</t>
  </si>
  <si>
    <t>Big Afro (look)</t>
  </si>
  <si>
    <t>Week total</t>
  </si>
  <si>
    <t>Reserved look, once</t>
  </si>
  <si>
    <t>Look coin value</t>
  </si>
  <si>
    <t>Music Notes (trail)</t>
  </si>
  <si>
    <t>Day 14</t>
  </si>
  <si>
    <t>Rainbow (goalfx)</t>
  </si>
  <si>
    <t>Day 30</t>
  </si>
  <si>
    <t>Halo (look)</t>
  </si>
  <si>
    <t>One missed day a week is forgiven. A longer break halves the streak; nothing is zeroed.</t>
  </si>
  <si>
    <t>Weekly, at the steady rate</t>
  </si>
  <si>
    <t>Value</t>
  </si>
  <si>
    <t>Match of the day, coins a day</t>
  </si>
  <si>
    <t>Match of the day, gems a day</t>
  </si>
  <si>
    <t>Come-back gems a week</t>
  </si>
  <si>
    <t>Come-back coins a week (match of the day and streak)</t>
  </si>
  <si>
    <t>Loop gems a week, apps, with the daily ad</t>
  </si>
  <si>
    <t>Loop gems a week, apps, no ads</t>
  </si>
  <si>
    <t>Loop gems a week, portal, every offer</t>
  </si>
  <si>
    <t>Tuned band for a week of loop gems</t>
  </si>
  <si>
    <t>80 to 160</t>
  </si>
  <si>
    <t>90 day amount</t>
  </si>
  <si>
    <t>Share of the 90 day total</t>
  </si>
  <si>
    <t>Ticket office, coins an hour</t>
  </si>
  <si>
    <t>Club shop (megastore)</t>
  </si>
  <si>
    <t>Commercial manager %</t>
  </si>
  <si>
    <t>Atmosphere %</t>
  </si>
  <si>
    <t>Coins an hour</t>
  </si>
  <si>
    <t>Full office (cap hours x rate)</t>
  </si>
  <si>
    <t>0 Park pitch</t>
  </si>
  <si>
    <t>1 Main stand</t>
  </si>
  <si>
    <t>2 Family stand</t>
  </si>
  <si>
    <t>3 Both sides full, floodlights</t>
  </si>
  <si>
    <t>4 Both ends</t>
  </si>
  <si>
    <t>5 The dome</t>
  </si>
  <si>
    <t>Everything built</t>
  </si>
  <si>
    <t>Cap, hours</t>
  </si>
  <si>
    <t>Share of coins the modelled club spends on its ground</t>
  </si>
  <si>
    <t>Blue cells are inputs: try the megastore (5), a manager (10%, 20%, 30%) or an atmosphere (up to 10%) on any row. The clock only moves forward and the office stops at the cap, so a week away is one full office, and nothing is ever lost by staying away.</t>
  </si>
  <si>
    <t>Days</t>
  </si>
  <si>
    <t>Office coins a day</t>
  </si>
  <si>
    <t>Other coins a day</t>
  </si>
  <si>
    <t>Office share of the rest</t>
  </si>
  <si>
    <t>Office rate at the end</t>
  </si>
  <si>
    <t>Full office at the end</t>
  </si>
  <si>
    <t>1 to 7</t>
  </si>
  <si>
    <t>8 to 30</t>
  </si>
  <si>
    <t>31 to 90</t>
  </si>
  <si>
    <t>Portal casual, one ad a visit</t>
  </si>
  <si>
    <t>Portal regular, no ads</t>
  </si>
  <si>
    <t>Portal keen, every offer</t>
  </si>
  <si>
    <t>Guard rail (tests/economyBalance.test.ts): at most about a quarter at any stage; under a fifth for a regular player; under a tenth in week one.</t>
  </si>
  <si>
    <t>Level 1, day</t>
  </si>
  <si>
    <t>Level 2, day</t>
  </si>
  <si>
    <t>Level 3, day</t>
  </si>
  <si>
    <t>Level 4, day</t>
  </si>
  <si>
    <t>Level 5, day</t>
  </si>
  <si>
    <t>Rate day 1 / 30 / 90</t>
  </si>
  <si>
    <t>Beyond the run</t>
  </si>
  <si>
    <t>16 / 26 / 36</t>
  </si>
  <si>
    <t>16 / 27 / 44</t>
  </si>
  <si>
    <t>18 / 40 / 50</t>
  </si>
  <si>
    <t>16 / 50 / 50</t>
  </si>
  <si>
    <t>18 / 44 / 50</t>
  </si>
  <si>
    <t>Gems from FREE GEMS ads (whole run)</t>
  </si>
  <si>
    <t>Day, everything saved for it</t>
  </si>
  <si>
    <t>Day, planning share (40% coins, 75% gems)</t>
  </si>
  <si>
    <t>Local Scouting Network</t>
  </si>
  <si>
    <t>Club Pass</t>
  </si>
  <si>
    <t>National Scouting Network (after Local)</t>
  </si>
  <si>
    <t>World Scouting Network (all three)</t>
  </si>
  <si>
    <t>Club Pass and all three networks</t>
  </si>
  <si>
    <t>Mid look (EPIC, Inferno goal)</t>
  </si>
  <si>
    <t>Top look (LEGENDARY, Supernova goal)</t>
  </si>
  <si>
    <t>The whole ground</t>
  </si>
  <si>
    <t>Each goal alone: nothing else bought with that currency. The gem goals are cumulative where the name says so.</t>
  </si>
  <si>
    <t>FREE GEMS offers a day</t>
  </si>
  <si>
    <t>Offers taken a day</t>
  </si>
  <si>
    <t>Loop gems a week, at most</t>
  </si>
  <si>
    <t>Gems day 30</t>
  </si>
  <si>
    <t>Gems day 90</t>
  </si>
  <si>
    <t>Ad gems in 90 days</t>
  </si>
  <si>
    <t>Club Pass, day</t>
  </si>
  <si>
    <t>Local network, day</t>
  </si>
  <si>
    <t>All three networks, day</t>
  </si>
  <si>
    <t>Chosen: 2 offers a day on a portal, 3 gems each, one ad a reward, in the shop only (the apps keep one). Two keeps the week inside the 80 to 160 band; three would not (165). A casual player who takes one a visit is unaffected by the number.</t>
  </si>
</sst>
</file>

<file path=xl/styles.xml><?xml version="1.0" encoding="utf-8"?>
<styleSheet xmlns="http://schemas.openxmlformats.org/spreadsheetml/2006/main">
  <numFmts count="4">
    <numFmt numFmtId="164" formatCode="0.0"/>
    <numFmt numFmtId="165" formatCode="0%"/>
    <numFmt numFmtId="166" formatCode="&quot;US$&quot;0.00"/>
    <numFmt numFmtId="167" formatCode="#,##0"/>
  </numFmts>
  <fonts count="5">
    <font>
      <sz val="11"/>
      <color theme="1"/>
      <name val="Calibri"/>
      <family val="2"/>
      <scheme val="minor"/>
    </font>
    <font>
      <b/>
      <sz val="22"/>
      <color rgb="FF172434"/>
      <name val="Calibri"/>
      <family val="2"/>
      <scheme val="minor"/>
    </font>
    <font>
      <sz val="11"/>
      <color rgb="FF576170"/>
      <name val="Calibri"/>
      <family val="2"/>
      <scheme val="minor"/>
    </font>
    <font>
      <b/>
      <sz val="11"/>
      <color rgb="FFFFFFFF"/>
      <name val="Calibri"/>
      <family val="2"/>
      <scheme val="minor"/>
    </font>
    <font>
      <sz val="11"/>
      <color rgb="FF1768AE"/>
      <name val="Calibri"/>
      <family val="2"/>
      <scheme val="minor"/>
    </font>
  </fonts>
  <fills count="5">
    <fill>
      <patternFill patternType="none"/>
    </fill>
    <fill>
      <patternFill patternType="gray125"/>
    </fill>
    <fill>
      <patternFill patternType="solid">
        <fgColor rgb="FF172434"/>
        <bgColor indexed="64"/>
      </patternFill>
    </fill>
    <fill>
      <patternFill patternType="solid">
        <fgColor rgb="FFE9F3FF"/>
        <bgColor indexed="64"/>
      </patternFill>
    </fill>
    <fill>
      <patternFill patternType="solid">
        <fgColor rgb="FFE4F5EC"/>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wrapText="1"/>
    </xf>
    <xf numFmtId="164" fontId="4" fillId="3" borderId="0" xfId="0" applyNumberFormat="1" applyFont="1" applyFill="1"/>
    <xf numFmtId="165" fontId="4" fillId="3" borderId="0" xfId="0" applyNumberFormat="1" applyFont="1" applyFill="1"/>
    <xf numFmtId="164" fontId="0" fillId="4" borderId="0" xfId="0" applyNumberFormat="1" applyFill="1"/>
    <xf numFmtId="166" fontId="0" fillId="0" borderId="0" xfId="0" applyNumberFormat="1"/>
    <xf numFmtId="165" fontId="0" fillId="0" borderId="0" xfId="0" applyNumberFormat="1"/>
    <xf numFmtId="167"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Earned gems before spending</a:t>
            </a:r>
          </a:p>
        </c:rich>
      </c:tx>
      <c:layout/>
    </c:title>
    <c:plotArea>
      <c:layout/>
      <c:lineChart>
        <c:grouping val="standard"/>
        <c:ser>
          <c:idx val="0"/>
          <c:order val="0"/>
          <c:tx>
            <c:v>Learning, no ads</c:v>
          </c:tx>
          <c:marker>
            <c:symbol val="none"/>
          </c:marker>
          <c:cat>
            <c:numRef>
              <c:f>'90 Day Ledger'!$B$2:$B$91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Ledger'!$G$2:$G$91</c:f>
              <c:numCache>
                <c:formatCode>General</c:formatCode>
                <c:ptCount val="90"/>
                <c:pt idx="0">
                  <c:v>82</c:v>
                </c:pt>
                <c:pt idx="1">
                  <c:v>82</c:v>
                </c:pt>
                <c:pt idx="2">
                  <c:v>87</c:v>
                </c:pt>
                <c:pt idx="3">
                  <c:v>87</c:v>
                </c:pt>
                <c:pt idx="4">
                  <c:v>87</c:v>
                </c:pt>
                <c:pt idx="5">
                  <c:v>114</c:v>
                </c:pt>
                <c:pt idx="6">
                  <c:v>114</c:v>
                </c:pt>
                <c:pt idx="7">
                  <c:v>119</c:v>
                </c:pt>
                <c:pt idx="8">
                  <c:v>119</c:v>
                </c:pt>
                <c:pt idx="9">
                  <c:v>131</c:v>
                </c:pt>
                <c:pt idx="10">
                  <c:v>131</c:v>
                </c:pt>
                <c:pt idx="11">
                  <c:v>131</c:v>
                </c:pt>
                <c:pt idx="12">
                  <c:v>149</c:v>
                </c:pt>
                <c:pt idx="13">
                  <c:v>149</c:v>
                </c:pt>
                <c:pt idx="14">
                  <c:v>179</c:v>
                </c:pt>
                <c:pt idx="15">
                  <c:v>179</c:v>
                </c:pt>
                <c:pt idx="16">
                  <c:v>181</c:v>
                </c:pt>
                <c:pt idx="17">
                  <c:v>181</c:v>
                </c:pt>
                <c:pt idx="18">
                  <c:v>181</c:v>
                </c:pt>
                <c:pt idx="19">
                  <c:v>181</c:v>
                </c:pt>
                <c:pt idx="20">
                  <c:v>181</c:v>
                </c:pt>
                <c:pt idx="21">
                  <c:v>196</c:v>
                </c:pt>
                <c:pt idx="22">
                  <c:v>196</c:v>
                </c:pt>
                <c:pt idx="23">
                  <c:v>218</c:v>
                </c:pt>
                <c:pt idx="24">
                  <c:v>218</c:v>
                </c:pt>
                <c:pt idx="25">
                  <c:v>218</c:v>
                </c:pt>
                <c:pt idx="26">
                  <c:v>218</c:v>
                </c:pt>
                <c:pt idx="27">
                  <c:v>218</c:v>
                </c:pt>
                <c:pt idx="28">
                  <c:v>218</c:v>
                </c:pt>
                <c:pt idx="29">
                  <c:v>218</c:v>
                </c:pt>
                <c:pt idx="30">
                  <c:v>238</c:v>
                </c:pt>
                <c:pt idx="31">
                  <c:v>238</c:v>
                </c:pt>
                <c:pt idx="32">
                  <c:v>238</c:v>
                </c:pt>
                <c:pt idx="33">
                  <c:v>263</c:v>
                </c:pt>
                <c:pt idx="34">
                  <c:v>263</c:v>
                </c:pt>
                <c:pt idx="35">
                  <c:v>263</c:v>
                </c:pt>
                <c:pt idx="36">
                  <c:v>263</c:v>
                </c:pt>
                <c:pt idx="37">
                  <c:v>288</c:v>
                </c:pt>
                <c:pt idx="38">
                  <c:v>288</c:v>
                </c:pt>
                <c:pt idx="39">
                  <c:v>288</c:v>
                </c:pt>
                <c:pt idx="40">
                  <c:v>303</c:v>
                </c:pt>
                <c:pt idx="41">
                  <c:v>303</c:v>
                </c:pt>
                <c:pt idx="42">
                  <c:v>303</c:v>
                </c:pt>
                <c:pt idx="43">
                  <c:v>303</c:v>
                </c:pt>
                <c:pt idx="44">
                  <c:v>306</c:v>
                </c:pt>
                <c:pt idx="45">
                  <c:v>306</c:v>
                </c:pt>
                <c:pt idx="46">
                  <c:v>306</c:v>
                </c:pt>
                <c:pt idx="47">
                  <c:v>351</c:v>
                </c:pt>
                <c:pt idx="48">
                  <c:v>351</c:v>
                </c:pt>
                <c:pt idx="49">
                  <c:v>359</c:v>
                </c:pt>
                <c:pt idx="50">
                  <c:v>359</c:v>
                </c:pt>
                <c:pt idx="51">
                  <c:v>369</c:v>
                </c:pt>
                <c:pt idx="52">
                  <c:v>369</c:v>
                </c:pt>
                <c:pt idx="53">
                  <c:v>369</c:v>
                </c:pt>
                <c:pt idx="54">
                  <c:v>374</c:v>
                </c:pt>
                <c:pt idx="55">
                  <c:v>374</c:v>
                </c:pt>
                <c:pt idx="56">
                  <c:v>374</c:v>
                </c:pt>
                <c:pt idx="57">
                  <c:v>374</c:v>
                </c:pt>
                <c:pt idx="58">
                  <c:v>379</c:v>
                </c:pt>
                <c:pt idx="59">
                  <c:v>379</c:v>
                </c:pt>
                <c:pt idx="60">
                  <c:v>379</c:v>
                </c:pt>
                <c:pt idx="61">
                  <c:v>379</c:v>
                </c:pt>
                <c:pt idx="62">
                  <c:v>379</c:v>
                </c:pt>
                <c:pt idx="63">
                  <c:v>409</c:v>
                </c:pt>
                <c:pt idx="64">
                  <c:v>409</c:v>
                </c:pt>
                <c:pt idx="65">
                  <c:v>409</c:v>
                </c:pt>
                <c:pt idx="66">
                  <c:v>409</c:v>
                </c:pt>
                <c:pt idx="67">
                  <c:v>409</c:v>
                </c:pt>
                <c:pt idx="68">
                  <c:v>409</c:v>
                </c:pt>
                <c:pt idx="69">
                  <c:v>409</c:v>
                </c:pt>
                <c:pt idx="70">
                  <c:v>437</c:v>
                </c:pt>
                <c:pt idx="71">
                  <c:v>437</c:v>
                </c:pt>
                <c:pt idx="72">
                  <c:v>437</c:v>
                </c:pt>
                <c:pt idx="73">
                  <c:v>437</c:v>
                </c:pt>
                <c:pt idx="74">
                  <c:v>437</c:v>
                </c:pt>
                <c:pt idx="75">
                  <c:v>452</c:v>
                </c:pt>
                <c:pt idx="76">
                  <c:v>452</c:v>
                </c:pt>
                <c:pt idx="77">
                  <c:v>455</c:v>
                </c:pt>
                <c:pt idx="78">
                  <c:v>455</c:v>
                </c:pt>
                <c:pt idx="79">
                  <c:v>478</c:v>
                </c:pt>
                <c:pt idx="80">
                  <c:v>478</c:v>
                </c:pt>
                <c:pt idx="81">
                  <c:v>478</c:v>
                </c:pt>
                <c:pt idx="82">
                  <c:v>501</c:v>
                </c:pt>
                <c:pt idx="83">
                  <c:v>501</c:v>
                </c:pt>
                <c:pt idx="84">
                  <c:v>519</c:v>
                </c:pt>
                <c:pt idx="85">
                  <c:v>519</c:v>
                </c:pt>
                <c:pt idx="86">
                  <c:v>527</c:v>
                </c:pt>
                <c:pt idx="87">
                  <c:v>527</c:v>
                </c:pt>
                <c:pt idx="88">
                  <c:v>527</c:v>
                </c:pt>
                <c:pt idx="89">
                  <c:v>527</c:v>
                </c:pt>
              </c:numCache>
            </c:numRef>
          </c:val>
        </c:ser>
        <c:ser>
          <c:idx val="1"/>
          <c:order val="1"/>
          <c:tx>
            <c:v>Casual, no ads</c:v>
          </c:tx>
          <c:marker>
            <c:symbol val="none"/>
          </c:marker>
          <c:cat>
            <c:numRef>
              <c:f>'90 Day Ledger'!$B$92:$B$181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Ledger'!$G$92:$G$181</c:f>
              <c:numCache>
                <c:formatCode>General</c:formatCode>
                <c:ptCount val="90"/>
                <c:pt idx="0">
                  <c:v>82</c:v>
                </c:pt>
                <c:pt idx="1">
                  <c:v>82</c:v>
                </c:pt>
                <c:pt idx="2">
                  <c:v>84</c:v>
                </c:pt>
                <c:pt idx="3">
                  <c:v>84</c:v>
                </c:pt>
                <c:pt idx="4">
                  <c:v>119</c:v>
                </c:pt>
                <c:pt idx="5">
                  <c:v>119</c:v>
                </c:pt>
                <c:pt idx="6">
                  <c:v>121</c:v>
                </c:pt>
                <c:pt idx="7">
                  <c:v>136</c:v>
                </c:pt>
                <c:pt idx="8">
                  <c:v>136</c:v>
                </c:pt>
                <c:pt idx="9">
                  <c:v>166</c:v>
                </c:pt>
                <c:pt idx="10">
                  <c:v>166</c:v>
                </c:pt>
                <c:pt idx="11">
                  <c:v>211</c:v>
                </c:pt>
                <c:pt idx="12">
                  <c:v>211</c:v>
                </c:pt>
                <c:pt idx="13">
                  <c:v>231</c:v>
                </c:pt>
                <c:pt idx="14">
                  <c:v>243</c:v>
                </c:pt>
                <c:pt idx="15">
                  <c:v>243</c:v>
                </c:pt>
                <c:pt idx="16">
                  <c:v>256</c:v>
                </c:pt>
                <c:pt idx="17">
                  <c:v>256</c:v>
                </c:pt>
                <c:pt idx="18">
                  <c:v>281</c:v>
                </c:pt>
                <c:pt idx="19">
                  <c:v>281</c:v>
                </c:pt>
                <c:pt idx="20">
                  <c:v>313</c:v>
                </c:pt>
                <c:pt idx="21">
                  <c:v>316</c:v>
                </c:pt>
                <c:pt idx="22">
                  <c:v>316</c:v>
                </c:pt>
                <c:pt idx="23">
                  <c:v>349</c:v>
                </c:pt>
                <c:pt idx="24">
                  <c:v>349</c:v>
                </c:pt>
                <c:pt idx="25">
                  <c:v>382</c:v>
                </c:pt>
                <c:pt idx="26">
                  <c:v>382</c:v>
                </c:pt>
                <c:pt idx="27">
                  <c:v>384</c:v>
                </c:pt>
                <c:pt idx="28">
                  <c:v>409</c:v>
                </c:pt>
                <c:pt idx="29">
                  <c:v>409</c:v>
                </c:pt>
                <c:pt idx="30">
                  <c:v>451</c:v>
                </c:pt>
                <c:pt idx="31">
                  <c:v>451</c:v>
                </c:pt>
                <c:pt idx="32">
                  <c:v>461</c:v>
                </c:pt>
                <c:pt idx="33">
                  <c:v>461</c:v>
                </c:pt>
                <c:pt idx="34">
                  <c:v>476</c:v>
                </c:pt>
                <c:pt idx="35">
                  <c:v>499</c:v>
                </c:pt>
                <c:pt idx="36">
                  <c:v>499</c:v>
                </c:pt>
                <c:pt idx="37">
                  <c:v>519</c:v>
                </c:pt>
                <c:pt idx="38">
                  <c:v>519</c:v>
                </c:pt>
                <c:pt idx="39">
                  <c:v>529</c:v>
                </c:pt>
                <c:pt idx="40">
                  <c:v>529</c:v>
                </c:pt>
                <c:pt idx="41">
                  <c:v>534</c:v>
                </c:pt>
                <c:pt idx="42">
                  <c:v>541</c:v>
                </c:pt>
                <c:pt idx="43">
                  <c:v>541</c:v>
                </c:pt>
                <c:pt idx="44">
                  <c:v>556</c:v>
                </c:pt>
                <c:pt idx="45">
                  <c:v>556</c:v>
                </c:pt>
                <c:pt idx="46">
                  <c:v>589</c:v>
                </c:pt>
                <c:pt idx="47">
                  <c:v>589</c:v>
                </c:pt>
                <c:pt idx="48">
                  <c:v>629</c:v>
                </c:pt>
                <c:pt idx="49">
                  <c:v>631</c:v>
                </c:pt>
                <c:pt idx="50">
                  <c:v>631</c:v>
                </c:pt>
                <c:pt idx="51">
                  <c:v>636</c:v>
                </c:pt>
                <c:pt idx="52">
                  <c:v>636</c:v>
                </c:pt>
                <c:pt idx="53">
                  <c:v>654</c:v>
                </c:pt>
                <c:pt idx="54">
                  <c:v>654</c:v>
                </c:pt>
                <c:pt idx="55">
                  <c:v>657</c:v>
                </c:pt>
                <c:pt idx="56">
                  <c:v>675</c:v>
                </c:pt>
                <c:pt idx="57">
                  <c:v>675</c:v>
                </c:pt>
                <c:pt idx="58">
                  <c:v>680</c:v>
                </c:pt>
                <c:pt idx="59">
                  <c:v>680</c:v>
                </c:pt>
                <c:pt idx="60">
                  <c:v>711</c:v>
                </c:pt>
                <c:pt idx="61">
                  <c:v>711</c:v>
                </c:pt>
                <c:pt idx="62">
                  <c:v>736</c:v>
                </c:pt>
                <c:pt idx="63">
                  <c:v>739</c:v>
                </c:pt>
                <c:pt idx="64">
                  <c:v>739</c:v>
                </c:pt>
                <c:pt idx="65">
                  <c:v>749</c:v>
                </c:pt>
                <c:pt idx="66">
                  <c:v>749</c:v>
                </c:pt>
                <c:pt idx="67">
                  <c:v>767</c:v>
                </c:pt>
                <c:pt idx="68">
                  <c:v>767</c:v>
                </c:pt>
                <c:pt idx="69">
                  <c:v>780</c:v>
                </c:pt>
                <c:pt idx="70">
                  <c:v>780</c:v>
                </c:pt>
                <c:pt idx="71">
                  <c:v>780</c:v>
                </c:pt>
                <c:pt idx="72">
                  <c:v>802</c:v>
                </c:pt>
                <c:pt idx="73">
                  <c:v>802</c:v>
                </c:pt>
                <c:pt idx="74">
                  <c:v>805</c:v>
                </c:pt>
                <c:pt idx="75">
                  <c:v>805</c:v>
                </c:pt>
                <c:pt idx="76">
                  <c:v>815</c:v>
                </c:pt>
                <c:pt idx="77">
                  <c:v>822</c:v>
                </c:pt>
                <c:pt idx="78">
                  <c:v>822</c:v>
                </c:pt>
                <c:pt idx="79">
                  <c:v>842</c:v>
                </c:pt>
                <c:pt idx="80">
                  <c:v>842</c:v>
                </c:pt>
                <c:pt idx="81">
                  <c:v>842</c:v>
                </c:pt>
                <c:pt idx="82">
                  <c:v>842</c:v>
                </c:pt>
                <c:pt idx="83">
                  <c:v>850</c:v>
                </c:pt>
                <c:pt idx="84">
                  <c:v>870</c:v>
                </c:pt>
                <c:pt idx="85">
                  <c:v>870</c:v>
                </c:pt>
                <c:pt idx="86">
                  <c:v>875</c:v>
                </c:pt>
                <c:pt idx="87">
                  <c:v>875</c:v>
                </c:pt>
                <c:pt idx="88">
                  <c:v>888</c:v>
                </c:pt>
                <c:pt idx="89">
                  <c:v>888</c:v>
                </c:pt>
              </c:numCache>
            </c:numRef>
          </c:val>
        </c:ser>
        <c:ser>
          <c:idx val="2"/>
          <c:order val="2"/>
          <c:tx>
            <c:v>Regular, no ads</c:v>
          </c:tx>
          <c:marker>
            <c:symbol val="none"/>
          </c:marker>
          <c:cat>
            <c:numRef>
              <c:f>'90 Day Ledger'!$B$182:$B$271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Ledger'!$G$182:$G$271</c:f>
              <c:numCache>
                <c:formatCode>General</c:formatCode>
                <c:ptCount val="90"/>
                <c:pt idx="0">
                  <c:v>82</c:v>
                </c:pt>
                <c:pt idx="1">
                  <c:v>99</c:v>
                </c:pt>
                <c:pt idx="2">
                  <c:v>139</c:v>
                </c:pt>
                <c:pt idx="3">
                  <c:v>184</c:v>
                </c:pt>
                <c:pt idx="4">
                  <c:v>212</c:v>
                </c:pt>
                <c:pt idx="5">
                  <c:v>242</c:v>
                </c:pt>
                <c:pt idx="6">
                  <c:v>270</c:v>
                </c:pt>
                <c:pt idx="7">
                  <c:v>297</c:v>
                </c:pt>
                <c:pt idx="8">
                  <c:v>312</c:v>
                </c:pt>
                <c:pt idx="9">
                  <c:v>350</c:v>
                </c:pt>
                <c:pt idx="10">
                  <c:v>385</c:v>
                </c:pt>
                <c:pt idx="11">
                  <c:v>425</c:v>
                </c:pt>
                <c:pt idx="12">
                  <c:v>430</c:v>
                </c:pt>
                <c:pt idx="13">
                  <c:v>458</c:v>
                </c:pt>
                <c:pt idx="14">
                  <c:v>476</c:v>
                </c:pt>
                <c:pt idx="15">
                  <c:v>489</c:v>
                </c:pt>
                <c:pt idx="16">
                  <c:v>514</c:v>
                </c:pt>
                <c:pt idx="17">
                  <c:v>534</c:v>
                </c:pt>
                <c:pt idx="18">
                  <c:v>557</c:v>
                </c:pt>
                <c:pt idx="19">
                  <c:v>562</c:v>
                </c:pt>
                <c:pt idx="20">
                  <c:v>590</c:v>
                </c:pt>
                <c:pt idx="21">
                  <c:v>608</c:v>
                </c:pt>
                <c:pt idx="22">
                  <c:v>608</c:v>
                </c:pt>
                <c:pt idx="23">
                  <c:v>633</c:v>
                </c:pt>
                <c:pt idx="24">
                  <c:v>656</c:v>
                </c:pt>
                <c:pt idx="25">
                  <c:v>674</c:v>
                </c:pt>
                <c:pt idx="26">
                  <c:v>687</c:v>
                </c:pt>
                <c:pt idx="27">
                  <c:v>712</c:v>
                </c:pt>
                <c:pt idx="28">
                  <c:v>715</c:v>
                </c:pt>
                <c:pt idx="29">
                  <c:v>720</c:v>
                </c:pt>
                <c:pt idx="30">
                  <c:v>766</c:v>
                </c:pt>
                <c:pt idx="31">
                  <c:v>784</c:v>
                </c:pt>
                <c:pt idx="32">
                  <c:v>787</c:v>
                </c:pt>
                <c:pt idx="33">
                  <c:v>790</c:v>
                </c:pt>
                <c:pt idx="34">
                  <c:v>830</c:v>
                </c:pt>
                <c:pt idx="35">
                  <c:v>833</c:v>
                </c:pt>
                <c:pt idx="36">
                  <c:v>836</c:v>
                </c:pt>
                <c:pt idx="37">
                  <c:v>879</c:v>
                </c:pt>
                <c:pt idx="38">
                  <c:v>912</c:v>
                </c:pt>
                <c:pt idx="39">
                  <c:v>920</c:v>
                </c:pt>
                <c:pt idx="40">
                  <c:v>926</c:v>
                </c:pt>
                <c:pt idx="41">
                  <c:v>956</c:v>
                </c:pt>
                <c:pt idx="42">
                  <c:v>969</c:v>
                </c:pt>
                <c:pt idx="43">
                  <c:v>979</c:v>
                </c:pt>
                <c:pt idx="44">
                  <c:v>1007</c:v>
                </c:pt>
                <c:pt idx="45">
                  <c:v>1025</c:v>
                </c:pt>
                <c:pt idx="46">
                  <c:v>1025</c:v>
                </c:pt>
                <c:pt idx="47">
                  <c:v>1033</c:v>
                </c:pt>
                <c:pt idx="48">
                  <c:v>1063</c:v>
                </c:pt>
                <c:pt idx="49">
                  <c:v>1076</c:v>
                </c:pt>
                <c:pt idx="50">
                  <c:v>1089</c:v>
                </c:pt>
                <c:pt idx="51">
                  <c:v>1107</c:v>
                </c:pt>
                <c:pt idx="52">
                  <c:v>1120</c:v>
                </c:pt>
                <c:pt idx="53">
                  <c:v>1138</c:v>
                </c:pt>
                <c:pt idx="54">
                  <c:v>1141</c:v>
                </c:pt>
                <c:pt idx="55">
                  <c:v>1173</c:v>
                </c:pt>
                <c:pt idx="56">
                  <c:v>1176</c:v>
                </c:pt>
                <c:pt idx="57">
                  <c:v>1189</c:v>
                </c:pt>
                <c:pt idx="58">
                  <c:v>1207</c:v>
                </c:pt>
                <c:pt idx="59">
                  <c:v>1230</c:v>
                </c:pt>
                <c:pt idx="60">
                  <c:v>1251</c:v>
                </c:pt>
                <c:pt idx="61">
                  <c:v>1254</c:v>
                </c:pt>
                <c:pt idx="62">
                  <c:v>1282</c:v>
                </c:pt>
                <c:pt idx="63">
                  <c:v>1290</c:v>
                </c:pt>
                <c:pt idx="64">
                  <c:v>1295</c:v>
                </c:pt>
                <c:pt idx="65">
                  <c:v>1333</c:v>
                </c:pt>
                <c:pt idx="66">
                  <c:v>1336</c:v>
                </c:pt>
                <c:pt idx="67">
                  <c:v>1349</c:v>
                </c:pt>
                <c:pt idx="68">
                  <c:v>1367</c:v>
                </c:pt>
                <c:pt idx="69">
                  <c:v>1398</c:v>
                </c:pt>
                <c:pt idx="70">
                  <c:v>1403</c:v>
                </c:pt>
                <c:pt idx="71">
                  <c:v>1413</c:v>
                </c:pt>
                <c:pt idx="72">
                  <c:v>1451</c:v>
                </c:pt>
                <c:pt idx="73">
                  <c:v>1459</c:v>
                </c:pt>
                <c:pt idx="74">
                  <c:v>1462</c:v>
                </c:pt>
                <c:pt idx="75">
                  <c:v>1480</c:v>
                </c:pt>
                <c:pt idx="76">
                  <c:v>1511</c:v>
                </c:pt>
                <c:pt idx="77">
                  <c:v>1516</c:v>
                </c:pt>
                <c:pt idx="78">
                  <c:v>1519</c:v>
                </c:pt>
                <c:pt idx="79">
                  <c:v>1524</c:v>
                </c:pt>
                <c:pt idx="80">
                  <c:v>1544</c:v>
                </c:pt>
                <c:pt idx="81">
                  <c:v>1567</c:v>
                </c:pt>
                <c:pt idx="82">
                  <c:v>1575</c:v>
                </c:pt>
                <c:pt idx="83">
                  <c:v>1618</c:v>
                </c:pt>
                <c:pt idx="84">
                  <c:v>1621</c:v>
                </c:pt>
                <c:pt idx="85">
                  <c:v>1626</c:v>
                </c:pt>
                <c:pt idx="86">
                  <c:v>1651</c:v>
                </c:pt>
                <c:pt idx="87">
                  <c:v>1671</c:v>
                </c:pt>
                <c:pt idx="88">
                  <c:v>1674</c:v>
                </c:pt>
                <c:pt idx="89">
                  <c:v>1677</c:v>
                </c:pt>
              </c:numCache>
            </c:numRef>
          </c:val>
        </c:ser>
        <c:ser>
          <c:idx val="3"/>
          <c:order val="3"/>
          <c:tx>
            <c:v>Keen, optional ads</c:v>
          </c:tx>
          <c:marker>
            <c:symbol val="none"/>
          </c:marker>
          <c:cat>
            <c:numRef>
              <c:f>'90 Day Ledger'!$B$272:$B$361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Ledger'!$G$272:$G$361</c:f>
              <c:numCache>
                <c:formatCode>General</c:formatCode>
                <c:ptCount val="90"/>
                <c:pt idx="0">
                  <c:v>101</c:v>
                </c:pt>
                <c:pt idx="1">
                  <c:v>184</c:v>
                </c:pt>
                <c:pt idx="2">
                  <c:v>227</c:v>
                </c:pt>
                <c:pt idx="3">
                  <c:v>273</c:v>
                </c:pt>
                <c:pt idx="4">
                  <c:v>312</c:v>
                </c:pt>
                <c:pt idx="5">
                  <c:v>375</c:v>
                </c:pt>
                <c:pt idx="6">
                  <c:v>434</c:v>
                </c:pt>
                <c:pt idx="7">
                  <c:v>460</c:v>
                </c:pt>
                <c:pt idx="8">
                  <c:v>488</c:v>
                </c:pt>
                <c:pt idx="9">
                  <c:v>547</c:v>
                </c:pt>
                <c:pt idx="10">
                  <c:v>563</c:v>
                </c:pt>
                <c:pt idx="11">
                  <c:v>576</c:v>
                </c:pt>
                <c:pt idx="12">
                  <c:v>584</c:v>
                </c:pt>
                <c:pt idx="13">
                  <c:v>645</c:v>
                </c:pt>
                <c:pt idx="14">
                  <c:v>669</c:v>
                </c:pt>
                <c:pt idx="15">
                  <c:v>710</c:v>
                </c:pt>
                <c:pt idx="16">
                  <c:v>739</c:v>
                </c:pt>
                <c:pt idx="17">
                  <c:v>750</c:v>
                </c:pt>
                <c:pt idx="18">
                  <c:v>768</c:v>
                </c:pt>
                <c:pt idx="19">
                  <c:v>812</c:v>
                </c:pt>
                <c:pt idx="20">
                  <c:v>850</c:v>
                </c:pt>
                <c:pt idx="21">
                  <c:v>866</c:v>
                </c:pt>
                <c:pt idx="22">
                  <c:v>917</c:v>
                </c:pt>
                <c:pt idx="23">
                  <c:v>938</c:v>
                </c:pt>
                <c:pt idx="24">
                  <c:v>954</c:v>
                </c:pt>
                <c:pt idx="25">
                  <c:v>960</c:v>
                </c:pt>
                <c:pt idx="26">
                  <c:v>989</c:v>
                </c:pt>
                <c:pt idx="27">
                  <c:v>1019</c:v>
                </c:pt>
                <c:pt idx="28">
                  <c:v>1038</c:v>
                </c:pt>
                <c:pt idx="29">
                  <c:v>1089</c:v>
                </c:pt>
                <c:pt idx="30">
                  <c:v>1105</c:v>
                </c:pt>
                <c:pt idx="31">
                  <c:v>1123</c:v>
                </c:pt>
                <c:pt idx="32">
                  <c:v>1147</c:v>
                </c:pt>
                <c:pt idx="33">
                  <c:v>1158</c:v>
                </c:pt>
                <c:pt idx="34">
                  <c:v>1202</c:v>
                </c:pt>
                <c:pt idx="35">
                  <c:v>1230</c:v>
                </c:pt>
                <c:pt idx="36">
                  <c:v>1264</c:v>
                </c:pt>
                <c:pt idx="37">
                  <c:v>1280</c:v>
                </c:pt>
                <c:pt idx="38">
                  <c:v>1296</c:v>
                </c:pt>
                <c:pt idx="39">
                  <c:v>1319</c:v>
                </c:pt>
                <c:pt idx="40">
                  <c:v>1328</c:v>
                </c:pt>
                <c:pt idx="41">
                  <c:v>1359</c:v>
                </c:pt>
                <c:pt idx="42">
                  <c:v>1385</c:v>
                </c:pt>
                <c:pt idx="43">
                  <c:v>1398</c:v>
                </c:pt>
                <c:pt idx="44">
                  <c:v>1414</c:v>
                </c:pt>
                <c:pt idx="45">
                  <c:v>1420</c:v>
                </c:pt>
                <c:pt idx="46">
                  <c:v>1423</c:v>
                </c:pt>
                <c:pt idx="47">
                  <c:v>1429</c:v>
                </c:pt>
                <c:pt idx="48">
                  <c:v>1460</c:v>
                </c:pt>
                <c:pt idx="49">
                  <c:v>1466</c:v>
                </c:pt>
                <c:pt idx="50">
                  <c:v>1494</c:v>
                </c:pt>
                <c:pt idx="51">
                  <c:v>1505</c:v>
                </c:pt>
                <c:pt idx="52">
                  <c:v>1521</c:v>
                </c:pt>
                <c:pt idx="53">
                  <c:v>1527</c:v>
                </c:pt>
                <c:pt idx="54">
                  <c:v>1536</c:v>
                </c:pt>
                <c:pt idx="55">
                  <c:v>1569</c:v>
                </c:pt>
                <c:pt idx="56">
                  <c:v>1575</c:v>
                </c:pt>
                <c:pt idx="57">
                  <c:v>1604</c:v>
                </c:pt>
                <c:pt idx="58">
                  <c:v>1628</c:v>
                </c:pt>
                <c:pt idx="59">
                  <c:v>1634</c:v>
                </c:pt>
                <c:pt idx="60">
                  <c:v>1643</c:v>
                </c:pt>
                <c:pt idx="61">
                  <c:v>1651</c:v>
                </c:pt>
                <c:pt idx="62">
                  <c:v>1685</c:v>
                </c:pt>
                <c:pt idx="63">
                  <c:v>1714</c:v>
                </c:pt>
                <c:pt idx="64">
                  <c:v>1730</c:v>
                </c:pt>
                <c:pt idx="65">
                  <c:v>1741</c:v>
                </c:pt>
                <c:pt idx="66">
                  <c:v>1747</c:v>
                </c:pt>
                <c:pt idx="67">
                  <c:v>1753</c:v>
                </c:pt>
                <c:pt idx="68">
                  <c:v>1764</c:v>
                </c:pt>
                <c:pt idx="69">
                  <c:v>1798</c:v>
                </c:pt>
                <c:pt idx="70">
                  <c:v>1824</c:v>
                </c:pt>
                <c:pt idx="71">
                  <c:v>1840</c:v>
                </c:pt>
                <c:pt idx="72">
                  <c:v>1851</c:v>
                </c:pt>
                <c:pt idx="73">
                  <c:v>1860</c:v>
                </c:pt>
                <c:pt idx="74">
                  <c:v>1866</c:v>
                </c:pt>
                <c:pt idx="75">
                  <c:v>1877</c:v>
                </c:pt>
                <c:pt idx="76">
                  <c:v>1911</c:v>
                </c:pt>
                <c:pt idx="77">
                  <c:v>1917</c:v>
                </c:pt>
                <c:pt idx="78">
                  <c:v>1923</c:v>
                </c:pt>
                <c:pt idx="79">
                  <c:v>1951</c:v>
                </c:pt>
                <c:pt idx="80">
                  <c:v>1967</c:v>
                </c:pt>
                <c:pt idx="81">
                  <c:v>1973</c:v>
                </c:pt>
                <c:pt idx="82">
                  <c:v>1984</c:v>
                </c:pt>
                <c:pt idx="83">
                  <c:v>2018</c:v>
                </c:pt>
                <c:pt idx="84">
                  <c:v>2034</c:v>
                </c:pt>
                <c:pt idx="85">
                  <c:v>2050</c:v>
                </c:pt>
                <c:pt idx="86">
                  <c:v>2074</c:v>
                </c:pt>
                <c:pt idx="87">
                  <c:v>2080</c:v>
                </c:pt>
                <c:pt idx="88">
                  <c:v>2086</c:v>
                </c:pt>
                <c:pt idx="89">
                  <c:v>2095</c:v>
                </c:pt>
              </c:numCache>
            </c:numRef>
          </c:val>
        </c:ser>
        <c:ser>
          <c:idx val="4"/>
          <c:order val="4"/>
          <c:tx>
            <c:v>Regular + paid Coin Doubler</c:v>
          </c:tx>
          <c:marker>
            <c:symbol val="none"/>
          </c:marker>
          <c:cat>
            <c:numRef>
              <c:f>'90 Day Ledger'!$B$362:$B$451</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cat>
          <c:val>
            <c:numRef>
              <c:f>'90 Day Ledger'!$G$362:$G$451</c:f>
              <c:numCache>
                <c:formatCode>General</c:formatCode>
                <c:ptCount val="90"/>
                <c:pt idx="0">
                  <c:v>82</c:v>
                </c:pt>
                <c:pt idx="1">
                  <c:v>99</c:v>
                </c:pt>
                <c:pt idx="2">
                  <c:v>139</c:v>
                </c:pt>
                <c:pt idx="3">
                  <c:v>184</c:v>
                </c:pt>
                <c:pt idx="4">
                  <c:v>212</c:v>
                </c:pt>
                <c:pt idx="5">
                  <c:v>242</c:v>
                </c:pt>
                <c:pt idx="6">
                  <c:v>270</c:v>
                </c:pt>
                <c:pt idx="7">
                  <c:v>297</c:v>
                </c:pt>
                <c:pt idx="8">
                  <c:v>312</c:v>
                </c:pt>
                <c:pt idx="9">
                  <c:v>350</c:v>
                </c:pt>
                <c:pt idx="10">
                  <c:v>385</c:v>
                </c:pt>
                <c:pt idx="11">
                  <c:v>425</c:v>
                </c:pt>
                <c:pt idx="12">
                  <c:v>430</c:v>
                </c:pt>
                <c:pt idx="13">
                  <c:v>458</c:v>
                </c:pt>
                <c:pt idx="14">
                  <c:v>476</c:v>
                </c:pt>
                <c:pt idx="15">
                  <c:v>489</c:v>
                </c:pt>
                <c:pt idx="16">
                  <c:v>514</c:v>
                </c:pt>
                <c:pt idx="17">
                  <c:v>534</c:v>
                </c:pt>
                <c:pt idx="18">
                  <c:v>557</c:v>
                </c:pt>
                <c:pt idx="19">
                  <c:v>562</c:v>
                </c:pt>
                <c:pt idx="20">
                  <c:v>590</c:v>
                </c:pt>
                <c:pt idx="21">
                  <c:v>608</c:v>
                </c:pt>
                <c:pt idx="22">
                  <c:v>608</c:v>
                </c:pt>
                <c:pt idx="23">
                  <c:v>633</c:v>
                </c:pt>
                <c:pt idx="24">
                  <c:v>656</c:v>
                </c:pt>
                <c:pt idx="25">
                  <c:v>674</c:v>
                </c:pt>
                <c:pt idx="26">
                  <c:v>687</c:v>
                </c:pt>
                <c:pt idx="27">
                  <c:v>712</c:v>
                </c:pt>
                <c:pt idx="28">
                  <c:v>715</c:v>
                </c:pt>
                <c:pt idx="29">
                  <c:v>720</c:v>
                </c:pt>
                <c:pt idx="30">
                  <c:v>766</c:v>
                </c:pt>
                <c:pt idx="31">
                  <c:v>784</c:v>
                </c:pt>
                <c:pt idx="32">
                  <c:v>787</c:v>
                </c:pt>
                <c:pt idx="33">
                  <c:v>790</c:v>
                </c:pt>
                <c:pt idx="34">
                  <c:v>830</c:v>
                </c:pt>
                <c:pt idx="35">
                  <c:v>833</c:v>
                </c:pt>
                <c:pt idx="36">
                  <c:v>836</c:v>
                </c:pt>
                <c:pt idx="37">
                  <c:v>879</c:v>
                </c:pt>
                <c:pt idx="38">
                  <c:v>912</c:v>
                </c:pt>
                <c:pt idx="39">
                  <c:v>920</c:v>
                </c:pt>
                <c:pt idx="40">
                  <c:v>926</c:v>
                </c:pt>
                <c:pt idx="41">
                  <c:v>956</c:v>
                </c:pt>
                <c:pt idx="42">
                  <c:v>969</c:v>
                </c:pt>
                <c:pt idx="43">
                  <c:v>979</c:v>
                </c:pt>
                <c:pt idx="44">
                  <c:v>1007</c:v>
                </c:pt>
                <c:pt idx="45">
                  <c:v>1025</c:v>
                </c:pt>
                <c:pt idx="46">
                  <c:v>1025</c:v>
                </c:pt>
                <c:pt idx="47">
                  <c:v>1033</c:v>
                </c:pt>
                <c:pt idx="48">
                  <c:v>1063</c:v>
                </c:pt>
                <c:pt idx="49">
                  <c:v>1076</c:v>
                </c:pt>
                <c:pt idx="50">
                  <c:v>1089</c:v>
                </c:pt>
                <c:pt idx="51">
                  <c:v>1107</c:v>
                </c:pt>
                <c:pt idx="52">
                  <c:v>1120</c:v>
                </c:pt>
                <c:pt idx="53">
                  <c:v>1138</c:v>
                </c:pt>
                <c:pt idx="54">
                  <c:v>1141</c:v>
                </c:pt>
                <c:pt idx="55">
                  <c:v>1173</c:v>
                </c:pt>
                <c:pt idx="56">
                  <c:v>1176</c:v>
                </c:pt>
                <c:pt idx="57">
                  <c:v>1189</c:v>
                </c:pt>
                <c:pt idx="58">
                  <c:v>1207</c:v>
                </c:pt>
                <c:pt idx="59">
                  <c:v>1230</c:v>
                </c:pt>
                <c:pt idx="60">
                  <c:v>1251</c:v>
                </c:pt>
                <c:pt idx="61">
                  <c:v>1254</c:v>
                </c:pt>
                <c:pt idx="62">
                  <c:v>1282</c:v>
                </c:pt>
                <c:pt idx="63">
                  <c:v>1290</c:v>
                </c:pt>
                <c:pt idx="64">
                  <c:v>1295</c:v>
                </c:pt>
                <c:pt idx="65">
                  <c:v>1333</c:v>
                </c:pt>
                <c:pt idx="66">
                  <c:v>1336</c:v>
                </c:pt>
                <c:pt idx="67">
                  <c:v>1349</c:v>
                </c:pt>
                <c:pt idx="68">
                  <c:v>1367</c:v>
                </c:pt>
                <c:pt idx="69">
                  <c:v>1398</c:v>
                </c:pt>
                <c:pt idx="70">
                  <c:v>1403</c:v>
                </c:pt>
                <c:pt idx="71">
                  <c:v>1413</c:v>
                </c:pt>
                <c:pt idx="72">
                  <c:v>1451</c:v>
                </c:pt>
                <c:pt idx="73">
                  <c:v>1459</c:v>
                </c:pt>
                <c:pt idx="74">
                  <c:v>1462</c:v>
                </c:pt>
                <c:pt idx="75">
                  <c:v>1480</c:v>
                </c:pt>
                <c:pt idx="76">
                  <c:v>1511</c:v>
                </c:pt>
                <c:pt idx="77">
                  <c:v>1516</c:v>
                </c:pt>
                <c:pt idx="78">
                  <c:v>1519</c:v>
                </c:pt>
                <c:pt idx="79">
                  <c:v>1524</c:v>
                </c:pt>
                <c:pt idx="80">
                  <c:v>1544</c:v>
                </c:pt>
                <c:pt idx="81">
                  <c:v>1567</c:v>
                </c:pt>
                <c:pt idx="82">
                  <c:v>1575</c:v>
                </c:pt>
                <c:pt idx="83">
                  <c:v>1618</c:v>
                </c:pt>
                <c:pt idx="84">
                  <c:v>1621</c:v>
                </c:pt>
                <c:pt idx="85">
                  <c:v>1626</c:v>
                </c:pt>
                <c:pt idx="86">
                  <c:v>1651</c:v>
                </c:pt>
                <c:pt idx="87">
                  <c:v>1671</c:v>
                </c:pt>
                <c:pt idx="88">
                  <c:v>1674</c:v>
                </c:pt>
                <c:pt idx="89">
                  <c:v>1677</c:v>
                </c:pt>
              </c:numCache>
            </c:numRef>
          </c:val>
        </c:ser>
        <c:marker val="1"/>
        <c:axId val="50010001"/>
        <c:axId val="50010002"/>
      </c:lineChart>
      <c:catAx>
        <c:axId val="50010001"/>
        <c:scaling>
          <c:orientation val="minMax"/>
        </c:scaling>
        <c:axPos val="b"/>
        <c:title>
          <c:tx>
            <c:rich>
              <a:bodyPr/>
              <a:lstStyle/>
              <a:p>
                <a:pPr>
                  <a:defRPr/>
                </a:pPr>
                <a:r>
                  <a:rPr lang="en-US"/>
                  <a:t>Calendar day</a:t>
                </a:r>
              </a:p>
            </c:rich>
          </c:tx>
          <c:layout/>
        </c:title>
        <c:numFmt formatCode="General" sourceLinked="1"/>
        <c:tickLblPos val="nextTo"/>
        <c:crossAx val="50010002"/>
        <c:crosses val="autoZero"/>
        <c:auto val="1"/>
        <c:lblAlgn val="ctr"/>
        <c:lblOffset val="100"/>
      </c:catAx>
      <c:valAx>
        <c:axId val="50010002"/>
        <c:scaling>
          <c:orientation val="minMax"/>
          <c:min val="0"/>
        </c:scaling>
        <c:axPos val="l"/>
        <c:majorGridlines/>
        <c:title>
          <c:tx>
            <c:rich>
              <a:bodyPr rot="-5400000" vert="horz"/>
              <a:lstStyle/>
              <a:p>
                <a:pPr>
                  <a:defRPr/>
                </a:pPr>
                <a:r>
                  <a:rPr lang="en-US"/>
                  <a:t>Gems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4</xdr:row>
      <xdr:rowOff>0</xdr:rowOff>
    </xdr:from>
    <xdr:to>
      <xdr:col>21</xdr:col>
      <xdr:colOff>209550</xdr:colOff>
      <xdr:row>24</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B2:H48"/>
  <sheetViews>
    <sheetView tabSelected="1" workbookViewId="0"/>
  </sheetViews>
  <sheetFormatPr defaultRowHeight="15"/>
  <cols>
    <col min="1" max="1" width="3.7109375" customWidth="1"/>
    <col min="2" max="2" width="35.7109375" customWidth="1"/>
    <col min="3" max="8" width="14.7109375" customWidth="1"/>
  </cols>
  <sheetData>
    <row r="2" spans="2:8">
      <c r="B2" s="1" t="s">
        <v>0</v>
      </c>
      <c r="C2" s="1"/>
      <c r="D2" s="1"/>
      <c r="E2" s="1"/>
      <c r="F2" s="1"/>
      <c r="G2" s="1"/>
      <c r="H2" s="1"/>
    </row>
    <row r="3" spans="2:8">
      <c r="B3" s="1"/>
      <c r="C3" s="1"/>
      <c r="D3" s="1"/>
      <c r="E3" s="1"/>
      <c r="F3" s="1"/>
      <c r="G3" s="1"/>
      <c r="H3" s="1"/>
    </row>
    <row r="5" spans="2:8">
      <c r="B5" s="2" t="s">
        <v>1</v>
      </c>
      <c r="C5" s="2"/>
      <c r="D5" s="2"/>
      <c r="E5" s="2"/>
      <c r="F5" s="2"/>
      <c r="G5" s="2"/>
      <c r="H5" s="2"/>
    </row>
    <row r="6" spans="2:8">
      <c r="B6" s="2"/>
      <c r="C6" s="2"/>
      <c r="D6" s="2"/>
      <c r="E6" s="2"/>
      <c r="F6" s="2"/>
      <c r="G6" s="2"/>
      <c r="H6" s="2"/>
    </row>
    <row r="8" spans="2:8">
      <c r="B8" s="2" t="s">
        <v>2</v>
      </c>
      <c r="C8" s="2"/>
      <c r="D8" s="2"/>
      <c r="E8" s="2"/>
      <c r="F8" s="2"/>
      <c r="G8" s="2"/>
      <c r="H8" s="2"/>
    </row>
    <row r="9" spans="2:8">
      <c r="B9" s="2"/>
      <c r="C9" s="2"/>
      <c r="D9" s="2"/>
      <c r="E9" s="2"/>
      <c r="F9" s="2"/>
      <c r="G9" s="2"/>
      <c r="H9" s="2"/>
    </row>
    <row r="11" spans="2:8">
      <c r="B11" s="2" t="s">
        <v>3</v>
      </c>
      <c r="C11" s="2"/>
      <c r="D11" s="2"/>
      <c r="E11" s="2"/>
      <c r="F11" s="2"/>
      <c r="G11" s="2"/>
      <c r="H11" s="2"/>
    </row>
    <row r="12" spans="2:8">
      <c r="B12" s="2"/>
      <c r="C12" s="2"/>
      <c r="D12" s="2"/>
      <c r="E12" s="2"/>
      <c r="F12" s="2"/>
      <c r="G12" s="2"/>
      <c r="H12" s="2"/>
    </row>
    <row r="15" spans="2:8">
      <c r="B15" s="3" t="s">
        <v>4</v>
      </c>
      <c r="C15" s="3"/>
      <c r="D15" s="3"/>
      <c r="E15" s="3"/>
      <c r="F15" s="3"/>
      <c r="G15" s="3"/>
      <c r="H15" s="3"/>
    </row>
    <row r="16" spans="2:8">
      <c r="B16" s="3"/>
      <c r="C16" s="3"/>
      <c r="D16" s="3"/>
      <c r="E16" s="3"/>
      <c r="F16" s="3"/>
      <c r="G16" s="3"/>
      <c r="H16" s="3"/>
    </row>
    <row r="17" spans="2:8">
      <c r="B17" s="3" t="s">
        <v>5</v>
      </c>
      <c r="C17" s="3"/>
      <c r="D17" s="3"/>
      <c r="E17" s="3"/>
      <c r="F17" s="3"/>
      <c r="G17" s="3"/>
      <c r="H17" s="3"/>
    </row>
    <row r="18" spans="2:8">
      <c r="B18" s="3"/>
      <c r="C18" s="3"/>
      <c r="D18" s="3"/>
      <c r="E18" s="3"/>
      <c r="F18" s="3"/>
      <c r="G18" s="3"/>
      <c r="H18" s="3"/>
    </row>
    <row r="19" spans="2:8">
      <c r="B19" s="3" t="s">
        <v>6</v>
      </c>
      <c r="C19" s="3"/>
      <c r="D19" s="3"/>
      <c r="E19" s="3"/>
      <c r="F19" s="3"/>
      <c r="G19" s="3"/>
      <c r="H19" s="3"/>
    </row>
    <row r="20" spans="2:8">
      <c r="B20" s="3"/>
      <c r="C20" s="3"/>
      <c r="D20" s="3"/>
      <c r="E20" s="3"/>
      <c r="F20" s="3"/>
      <c r="G20" s="3"/>
      <c r="H20" s="3"/>
    </row>
    <row r="21" spans="2:8">
      <c r="B21" s="3" t="s">
        <v>7</v>
      </c>
      <c r="C21" s="3"/>
      <c r="D21" s="3"/>
      <c r="E21" s="3"/>
      <c r="F21" s="3"/>
      <c r="G21" s="3"/>
      <c r="H21" s="3"/>
    </row>
    <row r="22" spans="2:8">
      <c r="B22" s="3"/>
      <c r="C22" s="3"/>
      <c r="D22" s="3"/>
      <c r="E22" s="3"/>
      <c r="F22" s="3"/>
      <c r="G22" s="3"/>
      <c r="H22" s="3"/>
    </row>
    <row r="23" spans="2:8">
      <c r="B23" s="3" t="s">
        <v>8</v>
      </c>
      <c r="C23" s="3"/>
      <c r="D23" s="3"/>
      <c r="E23" s="3"/>
      <c r="F23" s="3"/>
      <c r="G23" s="3"/>
      <c r="H23" s="3"/>
    </row>
    <row r="24" spans="2:8">
      <c r="B24" s="3"/>
      <c r="C24" s="3"/>
      <c r="D24" s="3"/>
      <c r="E24" s="3"/>
      <c r="F24" s="3"/>
      <c r="G24" s="3"/>
      <c r="H24" s="3"/>
    </row>
    <row r="25" spans="2:8">
      <c r="B25" s="3" t="s">
        <v>9</v>
      </c>
      <c r="C25" s="3"/>
      <c r="D25" s="3"/>
      <c r="E25" s="3"/>
      <c r="F25" s="3"/>
      <c r="G25" s="3"/>
      <c r="H25" s="3"/>
    </row>
    <row r="26" spans="2:8">
      <c r="B26" s="3"/>
      <c r="C26" s="3"/>
      <c r="D26" s="3"/>
      <c r="E26" s="3"/>
      <c r="F26" s="3"/>
      <c r="G26" s="3"/>
      <c r="H26" s="3"/>
    </row>
    <row r="27" spans="2:8">
      <c r="B27" s="3" t="s">
        <v>10</v>
      </c>
      <c r="C27" s="3"/>
      <c r="D27" s="3"/>
      <c r="E27" s="3"/>
      <c r="F27" s="3"/>
      <c r="G27" s="3"/>
      <c r="H27" s="3"/>
    </row>
    <row r="28" spans="2:8">
      <c r="B28" s="3"/>
      <c r="C28" s="3"/>
      <c r="D28" s="3"/>
      <c r="E28" s="3"/>
      <c r="F28" s="3"/>
      <c r="G28" s="3"/>
      <c r="H28" s="3"/>
    </row>
    <row r="29" spans="2:8">
      <c r="B29" s="3" t="s">
        <v>11</v>
      </c>
      <c r="C29" s="3"/>
      <c r="D29" s="3"/>
      <c r="E29" s="3"/>
      <c r="F29" s="3"/>
      <c r="G29" s="3"/>
      <c r="H29" s="3"/>
    </row>
    <row r="30" spans="2:8">
      <c r="B30" s="3"/>
      <c r="C30" s="3"/>
      <c r="D30" s="3"/>
      <c r="E30" s="3"/>
      <c r="F30" s="3"/>
      <c r="G30" s="3"/>
      <c r="H30" s="3"/>
    </row>
    <row r="31" spans="2:8">
      <c r="B31" s="3" t="s">
        <v>12</v>
      </c>
      <c r="C31" s="3"/>
      <c r="D31" s="3"/>
      <c r="E31" s="3"/>
      <c r="F31" s="3"/>
      <c r="G31" s="3"/>
      <c r="H31" s="3"/>
    </row>
    <row r="32" spans="2:8">
      <c r="B32" s="3"/>
      <c r="C32" s="3"/>
      <c r="D32" s="3"/>
      <c r="E32" s="3"/>
      <c r="F32" s="3"/>
      <c r="G32" s="3"/>
      <c r="H32" s="3"/>
    </row>
    <row r="33" spans="2:8">
      <c r="B33" s="3" t="s">
        <v>13</v>
      </c>
      <c r="C33" s="3"/>
      <c r="D33" s="3"/>
      <c r="E33" s="3"/>
      <c r="F33" s="3"/>
      <c r="G33" s="3"/>
      <c r="H33" s="3"/>
    </row>
    <row r="34" spans="2:8">
      <c r="B34" s="3"/>
      <c r="C34" s="3"/>
      <c r="D34" s="3"/>
      <c r="E34" s="3"/>
      <c r="F34" s="3"/>
      <c r="G34" s="3"/>
      <c r="H34" s="3"/>
    </row>
    <row r="35" spans="2:8">
      <c r="B35" s="3" t="s">
        <v>14</v>
      </c>
      <c r="C35" s="3"/>
      <c r="D35" s="3"/>
      <c r="E35" s="3"/>
      <c r="F35" s="3"/>
      <c r="G35" s="3"/>
      <c r="H35" s="3"/>
    </row>
    <row r="36" spans="2:8">
      <c r="B36" s="3"/>
      <c r="C36" s="3"/>
      <c r="D36" s="3"/>
      <c r="E36" s="3"/>
      <c r="F36" s="3"/>
      <c r="G36" s="3"/>
      <c r="H36" s="3"/>
    </row>
    <row r="37" spans="2:8">
      <c r="B37" s="3" t="s">
        <v>15</v>
      </c>
      <c r="C37" s="3"/>
      <c r="D37" s="3"/>
      <c r="E37" s="3"/>
      <c r="F37" s="3"/>
      <c r="G37" s="3"/>
      <c r="H37" s="3"/>
    </row>
    <row r="38" spans="2:8">
      <c r="B38" s="3"/>
      <c r="C38" s="3"/>
      <c r="D38" s="3"/>
      <c r="E38" s="3"/>
      <c r="F38" s="3"/>
      <c r="G38" s="3"/>
      <c r="H38" s="3"/>
    </row>
    <row r="39" spans="2:8">
      <c r="B39" s="3" t="s">
        <v>16</v>
      </c>
      <c r="C39" s="3"/>
      <c r="D39" s="3"/>
      <c r="E39" s="3"/>
      <c r="F39" s="3"/>
      <c r="G39" s="3"/>
      <c r="H39" s="3"/>
    </row>
    <row r="40" spans="2:8">
      <c r="B40" s="3"/>
      <c r="C40" s="3"/>
      <c r="D40" s="3"/>
      <c r="E40" s="3"/>
      <c r="F40" s="3"/>
      <c r="G40" s="3"/>
      <c r="H40" s="3"/>
    </row>
    <row r="42" spans="2:8">
      <c r="B42" s="2" t="s">
        <v>17</v>
      </c>
      <c r="C42" s="2"/>
      <c r="D42" s="2"/>
      <c r="E42" s="2"/>
      <c r="F42" s="2"/>
      <c r="G42" s="2"/>
      <c r="H42" s="2"/>
    </row>
    <row r="43" spans="2:8">
      <c r="B43" s="2"/>
      <c r="C43" s="2"/>
      <c r="D43" s="2"/>
      <c r="E43" s="2"/>
      <c r="F43" s="2"/>
      <c r="G43" s="2"/>
      <c r="H43" s="2"/>
    </row>
    <row r="44" spans="2:8">
      <c r="B44" s="2"/>
      <c r="C44" s="2"/>
      <c r="D44" s="2"/>
      <c r="E44" s="2"/>
      <c r="F44" s="2"/>
      <c r="G44" s="2"/>
      <c r="H44" s="2"/>
    </row>
    <row r="46" spans="2:8">
      <c r="B46" s="2" t="s">
        <v>18</v>
      </c>
      <c r="C46" s="2"/>
      <c r="D46" s="2"/>
      <c r="E46" s="2"/>
      <c r="F46" s="2"/>
      <c r="G46" s="2"/>
      <c r="H46" s="2"/>
    </row>
    <row r="47" spans="2:8">
      <c r="B47" s="2"/>
      <c r="C47" s="2"/>
      <c r="D47" s="2"/>
      <c r="E47" s="2"/>
      <c r="F47" s="2"/>
      <c r="G47" s="2"/>
      <c r="H47" s="2"/>
    </row>
    <row r="48" spans="2:8">
      <c r="B48" s="2"/>
      <c r="C48" s="2"/>
      <c r="D48" s="2"/>
      <c r="E48" s="2"/>
      <c r="F48" s="2"/>
      <c r="G48" s="2"/>
      <c r="H48" s="2"/>
    </row>
  </sheetData>
  <mergeCells count="19">
    <mergeCell ref="B2:H3"/>
    <mergeCell ref="B5:H6"/>
    <mergeCell ref="B8:H9"/>
    <mergeCell ref="B11:H12"/>
    <mergeCell ref="B15:H16"/>
    <mergeCell ref="B17:H18"/>
    <mergeCell ref="B19:H20"/>
    <mergeCell ref="B21:H22"/>
    <mergeCell ref="B23:H24"/>
    <mergeCell ref="B25:H26"/>
    <mergeCell ref="B27:H28"/>
    <mergeCell ref="B29:H30"/>
    <mergeCell ref="B31:H32"/>
    <mergeCell ref="B33:H34"/>
    <mergeCell ref="B35:H36"/>
    <mergeCell ref="B37:H38"/>
    <mergeCell ref="B39:H40"/>
    <mergeCell ref="B42:H44"/>
    <mergeCell ref="B46:H4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I2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0.7109375" customWidth="1"/>
    <col min="3" max="3" width="12.7109375" customWidth="1"/>
    <col min="4" max="6" width="16.7109375" customWidth="1"/>
    <col min="7" max="7" width="18.7109375" customWidth="1"/>
    <col min="8" max="9" width="22.7109375" customWidth="1"/>
  </cols>
  <sheetData>
    <row r="1" spans="1:9" ht="32" customHeight="1">
      <c r="A1" s="4" t="s">
        <v>19</v>
      </c>
      <c r="B1" s="4" t="s">
        <v>20</v>
      </c>
      <c r="C1" s="4" t="s">
        <v>21</v>
      </c>
      <c r="D1" s="4" t="s">
        <v>22</v>
      </c>
      <c r="E1" s="4" t="s">
        <v>23</v>
      </c>
      <c r="F1" s="4" t="s">
        <v>24</v>
      </c>
      <c r="G1" s="4" t="s">
        <v>25</v>
      </c>
      <c r="H1" s="4" t="s">
        <v>26</v>
      </c>
      <c r="I1" s="4" t="s">
        <v>27</v>
      </c>
    </row>
    <row r="2" spans="1:9">
      <c r="A2" t="s">
        <v>28</v>
      </c>
      <c r="B2">
        <v>1</v>
      </c>
      <c r="C2">
        <v>2</v>
      </c>
      <c r="D2">
        <v>12</v>
      </c>
      <c r="E2">
        <v>1362</v>
      </c>
      <c r="F2">
        <v>82</v>
      </c>
      <c r="G2">
        <v>1</v>
      </c>
      <c r="H2">
        <v>1</v>
      </c>
      <c r="I2">
        <v>0</v>
      </c>
    </row>
    <row r="3" spans="1:9">
      <c r="A3" t="s">
        <v>28</v>
      </c>
      <c r="B3">
        <v>7</v>
      </c>
      <c r="C3">
        <v>6</v>
      </c>
      <c r="D3">
        <v>36</v>
      </c>
      <c r="E3">
        <v>3741</v>
      </c>
      <c r="F3">
        <v>114</v>
      </c>
      <c r="G3">
        <v>6</v>
      </c>
      <c r="H3">
        <v>3</v>
      </c>
      <c r="I3">
        <v>0</v>
      </c>
    </row>
    <row r="4" spans="1:9">
      <c r="A4" t="s">
        <v>28</v>
      </c>
      <c r="B4">
        <v>30</v>
      </c>
      <c r="C4">
        <v>26</v>
      </c>
      <c r="D4">
        <v>156</v>
      </c>
      <c r="E4">
        <v>15132</v>
      </c>
      <c r="F4">
        <v>218</v>
      </c>
      <c r="G4">
        <v>18</v>
      </c>
      <c r="H4">
        <v>13</v>
      </c>
      <c r="I4">
        <v>0</v>
      </c>
    </row>
    <row r="5" spans="1:9">
      <c r="A5" t="s">
        <v>28</v>
      </c>
      <c r="B5">
        <v>60</v>
      </c>
      <c r="C5">
        <v>52</v>
      </c>
      <c r="D5">
        <v>312</v>
      </c>
      <c r="E5">
        <v>31170</v>
      </c>
      <c r="F5">
        <v>379</v>
      </c>
      <c r="G5">
        <v>31</v>
      </c>
      <c r="H5">
        <v>26</v>
      </c>
      <c r="I5">
        <v>1</v>
      </c>
    </row>
    <row r="6" spans="1:9">
      <c r="A6" t="s">
        <v>28</v>
      </c>
      <c r="B6">
        <v>90</v>
      </c>
      <c r="C6">
        <v>78</v>
      </c>
      <c r="D6">
        <v>468</v>
      </c>
      <c r="E6">
        <v>48951</v>
      </c>
      <c r="F6">
        <v>527</v>
      </c>
      <c r="G6">
        <v>43</v>
      </c>
      <c r="H6">
        <v>39</v>
      </c>
      <c r="I6">
        <v>2</v>
      </c>
    </row>
    <row r="7" spans="1:9">
      <c r="A7" t="s">
        <v>29</v>
      </c>
      <c r="B7">
        <v>1</v>
      </c>
      <c r="C7">
        <v>2</v>
      </c>
      <c r="D7">
        <v>12</v>
      </c>
      <c r="E7">
        <v>1409</v>
      </c>
      <c r="F7">
        <v>82</v>
      </c>
      <c r="G7">
        <v>1</v>
      </c>
      <c r="H7">
        <v>1</v>
      </c>
      <c r="I7">
        <v>0</v>
      </c>
    </row>
    <row r="8" spans="1:9">
      <c r="A8" t="s">
        <v>29</v>
      </c>
      <c r="B8">
        <v>7</v>
      </c>
      <c r="C8">
        <v>8</v>
      </c>
      <c r="D8">
        <v>48</v>
      </c>
      <c r="E8">
        <v>5385</v>
      </c>
      <c r="F8">
        <v>121</v>
      </c>
      <c r="G8">
        <v>7</v>
      </c>
      <c r="H8">
        <v>4</v>
      </c>
      <c r="I8">
        <v>0</v>
      </c>
    </row>
    <row r="9" spans="1:9">
      <c r="A9" t="s">
        <v>29</v>
      </c>
      <c r="B9">
        <v>30</v>
      </c>
      <c r="C9">
        <v>34</v>
      </c>
      <c r="D9">
        <v>204</v>
      </c>
      <c r="E9">
        <v>29844</v>
      </c>
      <c r="F9">
        <v>409</v>
      </c>
      <c r="G9">
        <v>30</v>
      </c>
      <c r="H9">
        <v>17</v>
      </c>
      <c r="I9">
        <v>1</v>
      </c>
    </row>
    <row r="10" spans="1:9">
      <c r="A10" t="s">
        <v>29</v>
      </c>
      <c r="B10">
        <v>60</v>
      </c>
      <c r="C10">
        <v>68</v>
      </c>
      <c r="D10">
        <v>408</v>
      </c>
      <c r="E10">
        <v>64068</v>
      </c>
      <c r="F10">
        <v>680</v>
      </c>
      <c r="G10">
        <v>59</v>
      </c>
      <c r="H10">
        <v>34</v>
      </c>
      <c r="I10">
        <v>3</v>
      </c>
    </row>
    <row r="11" spans="1:9">
      <c r="A11" t="s">
        <v>29</v>
      </c>
      <c r="B11">
        <v>90</v>
      </c>
      <c r="C11">
        <v>102</v>
      </c>
      <c r="D11">
        <v>612</v>
      </c>
      <c r="E11">
        <v>91244</v>
      </c>
      <c r="F11">
        <v>888</v>
      </c>
      <c r="G11">
        <v>82</v>
      </c>
      <c r="H11">
        <v>51</v>
      </c>
      <c r="I11">
        <v>4</v>
      </c>
    </row>
    <row r="12" spans="1:9">
      <c r="A12" t="s">
        <v>30</v>
      </c>
      <c r="B12">
        <v>1</v>
      </c>
      <c r="C12">
        <v>3</v>
      </c>
      <c r="D12">
        <v>18</v>
      </c>
      <c r="E12">
        <v>1540</v>
      </c>
      <c r="F12">
        <v>82</v>
      </c>
      <c r="G12">
        <v>1</v>
      </c>
      <c r="H12">
        <v>1</v>
      </c>
      <c r="I12">
        <v>0</v>
      </c>
    </row>
    <row r="13" spans="1:9">
      <c r="A13" t="s">
        <v>30</v>
      </c>
      <c r="B13">
        <v>7</v>
      </c>
      <c r="C13">
        <v>21</v>
      </c>
      <c r="D13">
        <v>126</v>
      </c>
      <c r="E13">
        <v>16421</v>
      </c>
      <c r="F13">
        <v>270</v>
      </c>
      <c r="G13">
        <v>15</v>
      </c>
      <c r="H13">
        <v>7</v>
      </c>
      <c r="I13">
        <v>0</v>
      </c>
    </row>
    <row r="14" spans="1:9">
      <c r="A14" t="s">
        <v>30</v>
      </c>
      <c r="B14">
        <v>30</v>
      </c>
      <c r="C14">
        <v>90</v>
      </c>
      <c r="D14">
        <v>540</v>
      </c>
      <c r="E14">
        <v>68837</v>
      </c>
      <c r="F14">
        <v>720</v>
      </c>
      <c r="G14">
        <v>53</v>
      </c>
      <c r="H14">
        <v>30</v>
      </c>
      <c r="I14">
        <v>3</v>
      </c>
    </row>
    <row r="15" spans="1:9">
      <c r="A15" t="s">
        <v>30</v>
      </c>
      <c r="B15">
        <v>60</v>
      </c>
      <c r="C15">
        <v>180</v>
      </c>
      <c r="D15">
        <v>1080</v>
      </c>
      <c r="E15">
        <v>142053</v>
      </c>
      <c r="F15">
        <v>1230</v>
      </c>
      <c r="G15">
        <v>103</v>
      </c>
      <c r="H15">
        <v>60</v>
      </c>
      <c r="I15">
        <v>7</v>
      </c>
    </row>
    <row r="16" spans="1:9">
      <c r="A16" t="s">
        <v>30</v>
      </c>
      <c r="B16">
        <v>90</v>
      </c>
      <c r="C16">
        <v>270</v>
      </c>
      <c r="D16">
        <v>1620</v>
      </c>
      <c r="E16">
        <v>215526</v>
      </c>
      <c r="F16">
        <v>1677</v>
      </c>
      <c r="G16">
        <v>161</v>
      </c>
      <c r="H16">
        <v>90</v>
      </c>
      <c r="I16">
        <v>11</v>
      </c>
    </row>
    <row r="17" spans="1:9">
      <c r="A17" t="s">
        <v>31</v>
      </c>
      <c r="B17">
        <v>1</v>
      </c>
      <c r="C17">
        <v>6</v>
      </c>
      <c r="D17">
        <v>36</v>
      </c>
      <c r="E17">
        <v>3845</v>
      </c>
      <c r="F17">
        <v>101</v>
      </c>
      <c r="G17">
        <v>1</v>
      </c>
      <c r="H17">
        <v>1</v>
      </c>
      <c r="I17">
        <v>0</v>
      </c>
    </row>
    <row r="18" spans="1:9">
      <c r="A18" t="s">
        <v>31</v>
      </c>
      <c r="B18">
        <v>7</v>
      </c>
      <c r="C18">
        <v>42</v>
      </c>
      <c r="D18">
        <v>252</v>
      </c>
      <c r="E18">
        <v>32976</v>
      </c>
      <c r="F18">
        <v>434</v>
      </c>
      <c r="G18">
        <v>20</v>
      </c>
      <c r="H18">
        <v>7</v>
      </c>
      <c r="I18">
        <v>2</v>
      </c>
    </row>
    <row r="19" spans="1:9">
      <c r="A19" t="s">
        <v>31</v>
      </c>
      <c r="B19">
        <v>30</v>
      </c>
      <c r="C19">
        <v>180</v>
      </c>
      <c r="D19">
        <v>1080</v>
      </c>
      <c r="E19">
        <v>150032</v>
      </c>
      <c r="F19">
        <v>1089</v>
      </c>
      <c r="G19">
        <v>76</v>
      </c>
      <c r="H19">
        <v>30</v>
      </c>
      <c r="I19">
        <v>9</v>
      </c>
    </row>
    <row r="20" spans="1:9">
      <c r="A20" t="s">
        <v>31</v>
      </c>
      <c r="B20">
        <v>60</v>
      </c>
      <c r="C20">
        <v>360</v>
      </c>
      <c r="D20">
        <v>2160</v>
      </c>
      <c r="E20">
        <v>271566</v>
      </c>
      <c r="F20">
        <v>1634</v>
      </c>
      <c r="G20">
        <v>144</v>
      </c>
      <c r="H20">
        <v>60</v>
      </c>
      <c r="I20">
        <v>12</v>
      </c>
    </row>
    <row r="21" spans="1:9">
      <c r="A21" t="s">
        <v>31</v>
      </c>
      <c r="B21">
        <v>90</v>
      </c>
      <c r="C21">
        <v>540</v>
      </c>
      <c r="D21">
        <v>3240</v>
      </c>
      <c r="E21">
        <v>378511</v>
      </c>
      <c r="F21">
        <v>2095</v>
      </c>
      <c r="G21">
        <v>217</v>
      </c>
      <c r="H21">
        <v>90</v>
      </c>
      <c r="I21">
        <v>12</v>
      </c>
    </row>
    <row r="22" spans="1:9">
      <c r="A22" t="s">
        <v>32</v>
      </c>
      <c r="B22">
        <v>1</v>
      </c>
      <c r="C22">
        <v>3</v>
      </c>
      <c r="D22">
        <v>18</v>
      </c>
      <c r="E22">
        <v>1810</v>
      </c>
      <c r="F22">
        <v>82</v>
      </c>
      <c r="G22">
        <v>1</v>
      </c>
      <c r="H22">
        <v>1</v>
      </c>
      <c r="I22">
        <v>0</v>
      </c>
    </row>
    <row r="23" spans="1:9">
      <c r="A23" t="s">
        <v>32</v>
      </c>
      <c r="B23">
        <v>7</v>
      </c>
      <c r="C23">
        <v>21</v>
      </c>
      <c r="D23">
        <v>126</v>
      </c>
      <c r="E23">
        <v>19463</v>
      </c>
      <c r="F23">
        <v>270</v>
      </c>
      <c r="G23">
        <v>15</v>
      </c>
      <c r="H23">
        <v>7</v>
      </c>
      <c r="I23">
        <v>0</v>
      </c>
    </row>
    <row r="24" spans="1:9">
      <c r="A24" t="s">
        <v>32</v>
      </c>
      <c r="B24">
        <v>30</v>
      </c>
      <c r="C24">
        <v>90</v>
      </c>
      <c r="D24">
        <v>540</v>
      </c>
      <c r="E24">
        <v>80837</v>
      </c>
      <c r="F24">
        <v>720</v>
      </c>
      <c r="G24">
        <v>53</v>
      </c>
      <c r="H24">
        <v>30</v>
      </c>
      <c r="I24">
        <v>3</v>
      </c>
    </row>
    <row r="25" spans="1:9">
      <c r="A25" t="s">
        <v>32</v>
      </c>
      <c r="B25">
        <v>60</v>
      </c>
      <c r="C25">
        <v>180</v>
      </c>
      <c r="D25">
        <v>1080</v>
      </c>
      <c r="E25">
        <v>165197</v>
      </c>
      <c r="F25">
        <v>1230</v>
      </c>
      <c r="G25">
        <v>103</v>
      </c>
      <c r="H25">
        <v>60</v>
      </c>
      <c r="I25">
        <v>7</v>
      </c>
    </row>
    <row r="26" spans="1:9">
      <c r="A26" t="s">
        <v>32</v>
      </c>
      <c r="B26">
        <v>90</v>
      </c>
      <c r="C26">
        <v>270</v>
      </c>
      <c r="D26">
        <v>1620</v>
      </c>
      <c r="E26">
        <v>250040</v>
      </c>
      <c r="F26">
        <v>1677</v>
      </c>
      <c r="G26">
        <v>161</v>
      </c>
      <c r="H26">
        <v>90</v>
      </c>
      <c r="I26">
        <v>11</v>
      </c>
    </row>
    <row r="29" spans="1:9">
      <c r="A29" s="3" t="s">
        <v>33</v>
      </c>
    </row>
  </sheetData>
  <autoFilter ref="A1:I26"/>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E12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2.7109375" customWidth="1"/>
    <col min="3" max="3" width="22.7109375" customWidth="1"/>
    <col min="4" max="4" width="19.7109375" customWidth="1"/>
    <col min="5" max="5" width="57.7109375" customWidth="1"/>
  </cols>
  <sheetData>
    <row r="1" spans="1:5" ht="32" customHeight="1">
      <c r="A1" s="4" t="s">
        <v>19</v>
      </c>
      <c r="B1" s="4" t="s">
        <v>34</v>
      </c>
      <c r="C1" s="4" t="s">
        <v>35</v>
      </c>
      <c r="D1" s="4" t="s">
        <v>36</v>
      </c>
      <c r="E1" s="4" t="s">
        <v>37</v>
      </c>
    </row>
    <row r="2" spans="1:5">
      <c r="A2" t="s">
        <v>28</v>
      </c>
      <c r="B2" t="s">
        <v>38</v>
      </c>
      <c r="C2" t="s">
        <v>39</v>
      </c>
      <c r="D2">
        <v>500</v>
      </c>
      <c r="E2" t="s">
        <v>40</v>
      </c>
    </row>
    <row r="3" spans="1:5">
      <c r="A3" t="s">
        <v>28</v>
      </c>
      <c r="B3" t="s">
        <v>38</v>
      </c>
      <c r="C3" t="s">
        <v>41</v>
      </c>
      <c r="D3">
        <v>4444</v>
      </c>
      <c r="E3" t="s">
        <v>40</v>
      </c>
    </row>
    <row r="4" spans="1:5">
      <c r="A4" t="s">
        <v>28</v>
      </c>
      <c r="B4" t="s">
        <v>38</v>
      </c>
      <c r="C4" t="s">
        <v>42</v>
      </c>
      <c r="D4">
        <v>9450</v>
      </c>
      <c r="E4" t="s">
        <v>40</v>
      </c>
    </row>
    <row r="5" spans="1:5">
      <c r="A5" t="s">
        <v>28</v>
      </c>
      <c r="B5" t="s">
        <v>38</v>
      </c>
      <c r="C5" t="s">
        <v>43</v>
      </c>
      <c r="D5">
        <v>4300</v>
      </c>
      <c r="E5" t="s">
        <v>40</v>
      </c>
    </row>
    <row r="6" spans="1:5">
      <c r="A6" t="s">
        <v>28</v>
      </c>
      <c r="B6" t="s">
        <v>38</v>
      </c>
      <c r="C6" t="s">
        <v>44</v>
      </c>
      <c r="D6">
        <v>900</v>
      </c>
      <c r="E6" t="s">
        <v>40</v>
      </c>
    </row>
    <row r="7" spans="1:5">
      <c r="A7" t="s">
        <v>28</v>
      </c>
      <c r="B7" t="s">
        <v>38</v>
      </c>
      <c r="C7" t="s">
        <v>45</v>
      </c>
      <c r="D7">
        <v>1950</v>
      </c>
      <c r="E7" t="s">
        <v>40</v>
      </c>
    </row>
    <row r="8" spans="1:5">
      <c r="A8" t="s">
        <v>28</v>
      </c>
      <c r="B8" t="s">
        <v>38</v>
      </c>
      <c r="C8" t="s">
        <v>46</v>
      </c>
      <c r="D8">
        <v>225</v>
      </c>
      <c r="E8" t="s">
        <v>40</v>
      </c>
    </row>
    <row r="9" spans="1:5">
      <c r="A9" t="s">
        <v>28</v>
      </c>
      <c r="B9" t="s">
        <v>38</v>
      </c>
      <c r="C9" t="s">
        <v>47</v>
      </c>
      <c r="D9">
        <v>7700</v>
      </c>
      <c r="E9" t="s">
        <v>40</v>
      </c>
    </row>
    <row r="10" spans="1:5">
      <c r="A10" t="s">
        <v>28</v>
      </c>
      <c r="B10" t="s">
        <v>38</v>
      </c>
      <c r="C10" t="s">
        <v>48</v>
      </c>
      <c r="D10">
        <v>8920</v>
      </c>
      <c r="E10" t="s">
        <v>40</v>
      </c>
    </row>
    <row r="11" spans="1:5">
      <c r="A11" t="s">
        <v>28</v>
      </c>
      <c r="B11" t="s">
        <v>38</v>
      </c>
      <c r="C11" t="s">
        <v>49</v>
      </c>
      <c r="D11">
        <v>0</v>
      </c>
      <c r="E11" t="s">
        <v>40</v>
      </c>
    </row>
    <row r="12" spans="1:5">
      <c r="A12" t="s">
        <v>28</v>
      </c>
      <c r="B12" t="s">
        <v>38</v>
      </c>
      <c r="C12" t="s">
        <v>50</v>
      </c>
      <c r="D12">
        <v>0</v>
      </c>
      <c r="E12" t="s">
        <v>40</v>
      </c>
    </row>
    <row r="13" spans="1:5">
      <c r="A13" t="s">
        <v>28</v>
      </c>
      <c r="B13" t="s">
        <v>38</v>
      </c>
      <c r="C13" t="s">
        <v>51</v>
      </c>
      <c r="D13">
        <v>910</v>
      </c>
      <c r="E13" t="s">
        <v>40</v>
      </c>
    </row>
    <row r="14" spans="1:5">
      <c r="A14" t="s">
        <v>28</v>
      </c>
      <c r="B14" t="s">
        <v>38</v>
      </c>
      <c r="C14" t="s">
        <v>52</v>
      </c>
      <c r="D14">
        <v>1300</v>
      </c>
      <c r="E14" t="s">
        <v>40</v>
      </c>
    </row>
    <row r="15" spans="1:5">
      <c r="A15" t="s">
        <v>28</v>
      </c>
      <c r="B15" t="s">
        <v>38</v>
      </c>
      <c r="C15" t="s">
        <v>53</v>
      </c>
      <c r="D15">
        <v>8352</v>
      </c>
      <c r="E15" t="s">
        <v>40</v>
      </c>
    </row>
    <row r="16" spans="1:5">
      <c r="A16" t="s">
        <v>28</v>
      </c>
      <c r="B16" t="s">
        <v>54</v>
      </c>
      <c r="C16" t="s">
        <v>39</v>
      </c>
      <c r="D16">
        <v>50</v>
      </c>
      <c r="E16" t="s">
        <v>40</v>
      </c>
    </row>
    <row r="17" spans="1:5">
      <c r="A17" t="s">
        <v>28</v>
      </c>
      <c r="B17" t="s">
        <v>54</v>
      </c>
      <c r="C17" t="s">
        <v>42</v>
      </c>
      <c r="D17">
        <v>130</v>
      </c>
      <c r="E17" t="s">
        <v>40</v>
      </c>
    </row>
    <row r="18" spans="1:5">
      <c r="A18" t="s">
        <v>28</v>
      </c>
      <c r="B18" t="s">
        <v>54</v>
      </c>
      <c r="C18" t="s">
        <v>55</v>
      </c>
      <c r="D18">
        <v>6</v>
      </c>
      <c r="E18" t="s">
        <v>40</v>
      </c>
    </row>
    <row r="19" spans="1:5">
      <c r="A19" t="s">
        <v>28</v>
      </c>
      <c r="B19" t="s">
        <v>54</v>
      </c>
      <c r="C19" t="s">
        <v>44</v>
      </c>
      <c r="D19">
        <v>30</v>
      </c>
      <c r="E19" t="s">
        <v>40</v>
      </c>
    </row>
    <row r="20" spans="1:5">
      <c r="A20" t="s">
        <v>28</v>
      </c>
      <c r="B20" t="s">
        <v>54</v>
      </c>
      <c r="C20" t="s">
        <v>56</v>
      </c>
      <c r="D20">
        <v>22</v>
      </c>
      <c r="E20" t="s">
        <v>40</v>
      </c>
    </row>
    <row r="21" spans="1:5">
      <c r="A21" t="s">
        <v>28</v>
      </c>
      <c r="B21" t="s">
        <v>54</v>
      </c>
      <c r="C21" t="s">
        <v>48</v>
      </c>
      <c r="D21">
        <v>60</v>
      </c>
      <c r="E21" t="s">
        <v>40</v>
      </c>
    </row>
    <row r="22" spans="1:5">
      <c r="A22" t="s">
        <v>28</v>
      </c>
      <c r="B22" t="s">
        <v>54</v>
      </c>
      <c r="C22" t="s">
        <v>57</v>
      </c>
      <c r="D22">
        <v>170</v>
      </c>
      <c r="E22" t="s">
        <v>40</v>
      </c>
    </row>
    <row r="23" spans="1:5">
      <c r="A23" t="s">
        <v>28</v>
      </c>
      <c r="B23" t="s">
        <v>54</v>
      </c>
      <c r="C23" t="s">
        <v>58</v>
      </c>
      <c r="D23">
        <v>0</v>
      </c>
      <c r="E23" t="s">
        <v>40</v>
      </c>
    </row>
    <row r="24" spans="1:5">
      <c r="A24" t="s">
        <v>28</v>
      </c>
      <c r="B24" t="s">
        <v>54</v>
      </c>
      <c r="C24" t="s">
        <v>59</v>
      </c>
      <c r="D24">
        <v>20</v>
      </c>
      <c r="E24" t="s">
        <v>40</v>
      </c>
    </row>
    <row r="25" spans="1:5">
      <c r="A25" t="s">
        <v>28</v>
      </c>
      <c r="B25" t="s">
        <v>54</v>
      </c>
      <c r="C25" t="s">
        <v>51</v>
      </c>
      <c r="D25">
        <v>0</v>
      </c>
      <c r="E25" t="s">
        <v>40</v>
      </c>
    </row>
    <row r="26" spans="1:5">
      <c r="A26" t="s">
        <v>28</v>
      </c>
      <c r="B26" t="s">
        <v>54</v>
      </c>
      <c r="C26" t="s">
        <v>52</v>
      </c>
      <c r="D26">
        <v>39</v>
      </c>
      <c r="E26" t="s">
        <v>40</v>
      </c>
    </row>
    <row r="27" spans="1:5">
      <c r="A27" t="s">
        <v>29</v>
      </c>
      <c r="B27" t="s">
        <v>38</v>
      </c>
      <c r="C27" t="s">
        <v>39</v>
      </c>
      <c r="D27">
        <v>500</v>
      </c>
      <c r="E27" t="s">
        <v>40</v>
      </c>
    </row>
    <row r="28" spans="1:5">
      <c r="A28" t="s">
        <v>29</v>
      </c>
      <c r="B28" t="s">
        <v>38</v>
      </c>
      <c r="C28" t="s">
        <v>41</v>
      </c>
      <c r="D28">
        <v>13325</v>
      </c>
      <c r="E28" t="s">
        <v>40</v>
      </c>
    </row>
    <row r="29" spans="1:5">
      <c r="A29" t="s">
        <v>29</v>
      </c>
      <c r="B29" t="s">
        <v>38</v>
      </c>
      <c r="C29" t="s">
        <v>42</v>
      </c>
      <c r="D29">
        <v>12500</v>
      </c>
      <c r="E29" t="s">
        <v>40</v>
      </c>
    </row>
    <row r="30" spans="1:5">
      <c r="A30" t="s">
        <v>29</v>
      </c>
      <c r="B30" t="s">
        <v>38</v>
      </c>
      <c r="C30" t="s">
        <v>43</v>
      </c>
      <c r="D30">
        <v>9400</v>
      </c>
      <c r="E30" t="s">
        <v>40</v>
      </c>
    </row>
    <row r="31" spans="1:5">
      <c r="A31" t="s">
        <v>29</v>
      </c>
      <c r="B31" t="s">
        <v>38</v>
      </c>
      <c r="C31" t="s">
        <v>44</v>
      </c>
      <c r="D31">
        <v>6100</v>
      </c>
      <c r="E31" t="s">
        <v>40</v>
      </c>
    </row>
    <row r="32" spans="1:5">
      <c r="A32" t="s">
        <v>29</v>
      </c>
      <c r="B32" t="s">
        <v>38</v>
      </c>
      <c r="C32" t="s">
        <v>45</v>
      </c>
      <c r="D32">
        <v>2550</v>
      </c>
      <c r="E32" t="s">
        <v>40</v>
      </c>
    </row>
    <row r="33" spans="1:5">
      <c r="A33" t="s">
        <v>29</v>
      </c>
      <c r="B33" t="s">
        <v>38</v>
      </c>
      <c r="C33" t="s">
        <v>46</v>
      </c>
      <c r="D33">
        <v>400</v>
      </c>
      <c r="E33" t="s">
        <v>40</v>
      </c>
    </row>
    <row r="34" spans="1:5">
      <c r="A34" t="s">
        <v>29</v>
      </c>
      <c r="B34" t="s">
        <v>38</v>
      </c>
      <c r="C34" t="s">
        <v>47</v>
      </c>
      <c r="D34">
        <v>10000</v>
      </c>
      <c r="E34" t="s">
        <v>40</v>
      </c>
    </row>
    <row r="35" spans="1:5">
      <c r="A35" t="s">
        <v>29</v>
      </c>
      <c r="B35" t="s">
        <v>38</v>
      </c>
      <c r="C35" t="s">
        <v>48</v>
      </c>
      <c r="D35">
        <v>18715</v>
      </c>
      <c r="E35" t="s">
        <v>40</v>
      </c>
    </row>
    <row r="36" spans="1:5">
      <c r="A36" t="s">
        <v>29</v>
      </c>
      <c r="B36" t="s">
        <v>38</v>
      </c>
      <c r="C36" t="s">
        <v>49</v>
      </c>
      <c r="D36">
        <v>0</v>
      </c>
      <c r="E36" t="s">
        <v>40</v>
      </c>
    </row>
    <row r="37" spans="1:5">
      <c r="A37" t="s">
        <v>29</v>
      </c>
      <c r="B37" t="s">
        <v>38</v>
      </c>
      <c r="C37" t="s">
        <v>50</v>
      </c>
      <c r="D37">
        <v>0</v>
      </c>
      <c r="E37" t="s">
        <v>40</v>
      </c>
    </row>
    <row r="38" spans="1:5">
      <c r="A38" t="s">
        <v>29</v>
      </c>
      <c r="B38" t="s">
        <v>38</v>
      </c>
      <c r="C38" t="s">
        <v>51</v>
      </c>
      <c r="D38">
        <v>1390</v>
      </c>
      <c r="E38" t="s">
        <v>40</v>
      </c>
    </row>
    <row r="39" spans="1:5">
      <c r="A39" t="s">
        <v>29</v>
      </c>
      <c r="B39" t="s">
        <v>38</v>
      </c>
      <c r="C39" t="s">
        <v>52</v>
      </c>
      <c r="D39">
        <v>2900</v>
      </c>
      <c r="E39" t="s">
        <v>40</v>
      </c>
    </row>
    <row r="40" spans="1:5">
      <c r="A40" t="s">
        <v>29</v>
      </c>
      <c r="B40" t="s">
        <v>38</v>
      </c>
      <c r="C40" t="s">
        <v>53</v>
      </c>
      <c r="D40">
        <v>13464</v>
      </c>
      <c r="E40" t="s">
        <v>40</v>
      </c>
    </row>
    <row r="41" spans="1:5">
      <c r="A41" t="s">
        <v>29</v>
      </c>
      <c r="B41" t="s">
        <v>54</v>
      </c>
      <c r="C41" t="s">
        <v>39</v>
      </c>
      <c r="D41">
        <v>50</v>
      </c>
      <c r="E41" t="s">
        <v>40</v>
      </c>
    </row>
    <row r="42" spans="1:5">
      <c r="A42" t="s">
        <v>29</v>
      </c>
      <c r="B42" t="s">
        <v>54</v>
      </c>
      <c r="C42" t="s">
        <v>42</v>
      </c>
      <c r="D42">
        <v>175</v>
      </c>
      <c r="E42" t="s">
        <v>40</v>
      </c>
    </row>
    <row r="43" spans="1:5">
      <c r="A43" t="s">
        <v>29</v>
      </c>
      <c r="B43" t="s">
        <v>54</v>
      </c>
      <c r="C43" t="s">
        <v>55</v>
      </c>
      <c r="D43">
        <v>12</v>
      </c>
      <c r="E43" t="s">
        <v>40</v>
      </c>
    </row>
    <row r="44" spans="1:5">
      <c r="A44" t="s">
        <v>29</v>
      </c>
      <c r="B44" t="s">
        <v>54</v>
      </c>
      <c r="C44" t="s">
        <v>44</v>
      </c>
      <c r="D44">
        <v>170</v>
      </c>
      <c r="E44" t="s">
        <v>40</v>
      </c>
    </row>
    <row r="45" spans="1:5">
      <c r="A45" t="s">
        <v>29</v>
      </c>
      <c r="B45" t="s">
        <v>54</v>
      </c>
      <c r="C45" t="s">
        <v>56</v>
      </c>
      <c r="D45">
        <v>30</v>
      </c>
      <c r="E45" t="s">
        <v>40</v>
      </c>
    </row>
    <row r="46" spans="1:5">
      <c r="A46" t="s">
        <v>29</v>
      </c>
      <c r="B46" t="s">
        <v>54</v>
      </c>
      <c r="C46" t="s">
        <v>48</v>
      </c>
      <c r="D46">
        <v>125</v>
      </c>
      <c r="E46" t="s">
        <v>40</v>
      </c>
    </row>
    <row r="47" spans="1:5">
      <c r="A47" t="s">
        <v>29</v>
      </c>
      <c r="B47" t="s">
        <v>54</v>
      </c>
      <c r="C47" t="s">
        <v>57</v>
      </c>
      <c r="D47">
        <v>195</v>
      </c>
      <c r="E47" t="s">
        <v>40</v>
      </c>
    </row>
    <row r="48" spans="1:5">
      <c r="A48" t="s">
        <v>29</v>
      </c>
      <c r="B48" t="s">
        <v>54</v>
      </c>
      <c r="C48" t="s">
        <v>58</v>
      </c>
      <c r="D48">
        <v>0</v>
      </c>
      <c r="E48" t="s">
        <v>40</v>
      </c>
    </row>
    <row r="49" spans="1:5">
      <c r="A49" t="s">
        <v>29</v>
      </c>
      <c r="B49" t="s">
        <v>54</v>
      </c>
      <c r="C49" t="s">
        <v>59</v>
      </c>
      <c r="D49">
        <v>20</v>
      </c>
      <c r="E49" t="s">
        <v>40</v>
      </c>
    </row>
    <row r="50" spans="1:5">
      <c r="A50" t="s">
        <v>29</v>
      </c>
      <c r="B50" t="s">
        <v>54</v>
      </c>
      <c r="C50" t="s">
        <v>51</v>
      </c>
      <c r="D50">
        <v>24</v>
      </c>
      <c r="E50" t="s">
        <v>40</v>
      </c>
    </row>
    <row r="51" spans="1:5">
      <c r="A51" t="s">
        <v>29</v>
      </c>
      <c r="B51" t="s">
        <v>54</v>
      </c>
      <c r="C51" t="s">
        <v>52</v>
      </c>
      <c r="D51">
        <v>87</v>
      </c>
      <c r="E51" t="s">
        <v>40</v>
      </c>
    </row>
    <row r="52" spans="1:5">
      <c r="A52" t="s">
        <v>30</v>
      </c>
      <c r="B52" t="s">
        <v>38</v>
      </c>
      <c r="C52" t="s">
        <v>39</v>
      </c>
      <c r="D52">
        <v>500</v>
      </c>
      <c r="E52" t="s">
        <v>40</v>
      </c>
    </row>
    <row r="53" spans="1:5">
      <c r="A53" t="s">
        <v>30</v>
      </c>
      <c r="B53" t="s">
        <v>38</v>
      </c>
      <c r="C53" t="s">
        <v>41</v>
      </c>
      <c r="D53">
        <v>33755</v>
      </c>
      <c r="E53" t="s">
        <v>40</v>
      </c>
    </row>
    <row r="54" spans="1:5">
      <c r="A54" t="s">
        <v>30</v>
      </c>
      <c r="B54" t="s">
        <v>38</v>
      </c>
      <c r="C54" t="s">
        <v>42</v>
      </c>
      <c r="D54">
        <v>22350</v>
      </c>
      <c r="E54" t="s">
        <v>40</v>
      </c>
    </row>
    <row r="55" spans="1:5">
      <c r="A55" t="s">
        <v>30</v>
      </c>
      <c r="B55" t="s">
        <v>38</v>
      </c>
      <c r="C55" t="s">
        <v>43</v>
      </c>
      <c r="D55">
        <v>19040</v>
      </c>
      <c r="E55" t="s">
        <v>40</v>
      </c>
    </row>
    <row r="56" spans="1:5">
      <c r="A56" t="s">
        <v>30</v>
      </c>
      <c r="B56" t="s">
        <v>38</v>
      </c>
      <c r="C56" t="s">
        <v>44</v>
      </c>
      <c r="D56">
        <v>14300</v>
      </c>
      <c r="E56" t="s">
        <v>40</v>
      </c>
    </row>
    <row r="57" spans="1:5">
      <c r="A57" t="s">
        <v>30</v>
      </c>
      <c r="B57" t="s">
        <v>38</v>
      </c>
      <c r="C57" t="s">
        <v>45</v>
      </c>
      <c r="D57">
        <v>6750</v>
      </c>
      <c r="E57" t="s">
        <v>40</v>
      </c>
    </row>
    <row r="58" spans="1:5">
      <c r="A58" t="s">
        <v>30</v>
      </c>
      <c r="B58" t="s">
        <v>38</v>
      </c>
      <c r="C58" t="s">
        <v>46</v>
      </c>
      <c r="D58">
        <v>1075</v>
      </c>
      <c r="E58" t="s">
        <v>40</v>
      </c>
    </row>
    <row r="59" spans="1:5">
      <c r="A59" t="s">
        <v>30</v>
      </c>
      <c r="B59" t="s">
        <v>38</v>
      </c>
      <c r="C59" t="s">
        <v>47</v>
      </c>
      <c r="D59">
        <v>23200</v>
      </c>
      <c r="E59" t="s">
        <v>40</v>
      </c>
    </row>
    <row r="60" spans="1:5">
      <c r="A60" t="s">
        <v>30</v>
      </c>
      <c r="B60" t="s">
        <v>38</v>
      </c>
      <c r="C60" t="s">
        <v>48</v>
      </c>
      <c r="D60">
        <v>50410</v>
      </c>
      <c r="E60" t="s">
        <v>40</v>
      </c>
    </row>
    <row r="61" spans="1:5">
      <c r="A61" t="s">
        <v>30</v>
      </c>
      <c r="B61" t="s">
        <v>38</v>
      </c>
      <c r="C61" t="s">
        <v>49</v>
      </c>
      <c r="D61">
        <v>0</v>
      </c>
      <c r="E61" t="s">
        <v>40</v>
      </c>
    </row>
    <row r="62" spans="1:5">
      <c r="A62" t="s">
        <v>30</v>
      </c>
      <c r="B62" t="s">
        <v>38</v>
      </c>
      <c r="C62" t="s">
        <v>50</v>
      </c>
      <c r="D62">
        <v>0</v>
      </c>
      <c r="E62" t="s">
        <v>40</v>
      </c>
    </row>
    <row r="63" spans="1:5">
      <c r="A63" t="s">
        <v>30</v>
      </c>
      <c r="B63" t="s">
        <v>38</v>
      </c>
      <c r="C63" t="s">
        <v>51</v>
      </c>
      <c r="D63">
        <v>6990</v>
      </c>
      <c r="E63" t="s">
        <v>40</v>
      </c>
    </row>
    <row r="64" spans="1:5">
      <c r="A64" t="s">
        <v>30</v>
      </c>
      <c r="B64" t="s">
        <v>38</v>
      </c>
      <c r="C64" t="s">
        <v>52</v>
      </c>
      <c r="D64">
        <v>6700</v>
      </c>
      <c r="E64" t="s">
        <v>40</v>
      </c>
    </row>
    <row r="65" spans="1:5">
      <c r="A65" t="s">
        <v>30</v>
      </c>
      <c r="B65" t="s">
        <v>38</v>
      </c>
      <c r="C65" t="s">
        <v>53</v>
      </c>
      <c r="D65">
        <v>30456</v>
      </c>
      <c r="E65" t="s">
        <v>40</v>
      </c>
    </row>
    <row r="66" spans="1:5">
      <c r="A66" t="s">
        <v>30</v>
      </c>
      <c r="B66" t="s">
        <v>54</v>
      </c>
      <c r="C66" t="s">
        <v>39</v>
      </c>
      <c r="D66">
        <v>50</v>
      </c>
      <c r="E66" t="s">
        <v>40</v>
      </c>
    </row>
    <row r="67" spans="1:5">
      <c r="A67" t="s">
        <v>30</v>
      </c>
      <c r="B67" t="s">
        <v>54</v>
      </c>
      <c r="C67" t="s">
        <v>42</v>
      </c>
      <c r="D67">
        <v>305</v>
      </c>
      <c r="E67" t="s">
        <v>40</v>
      </c>
    </row>
    <row r="68" spans="1:5">
      <c r="A68" t="s">
        <v>30</v>
      </c>
      <c r="B68" t="s">
        <v>54</v>
      </c>
      <c r="C68" t="s">
        <v>55</v>
      </c>
      <c r="D68">
        <v>42</v>
      </c>
      <c r="E68" t="s">
        <v>40</v>
      </c>
    </row>
    <row r="69" spans="1:5">
      <c r="A69" t="s">
        <v>30</v>
      </c>
      <c r="B69" t="s">
        <v>54</v>
      </c>
      <c r="C69" t="s">
        <v>44</v>
      </c>
      <c r="D69">
        <v>390</v>
      </c>
      <c r="E69" t="s">
        <v>40</v>
      </c>
    </row>
    <row r="70" spans="1:5">
      <c r="A70" t="s">
        <v>30</v>
      </c>
      <c r="B70" t="s">
        <v>54</v>
      </c>
      <c r="C70" t="s">
        <v>56</v>
      </c>
      <c r="D70">
        <v>44</v>
      </c>
      <c r="E70" t="s">
        <v>40</v>
      </c>
    </row>
    <row r="71" spans="1:5">
      <c r="A71" t="s">
        <v>30</v>
      </c>
      <c r="B71" t="s">
        <v>54</v>
      </c>
      <c r="C71" t="s">
        <v>48</v>
      </c>
      <c r="D71">
        <v>345</v>
      </c>
      <c r="E71" t="s">
        <v>40</v>
      </c>
    </row>
    <row r="72" spans="1:5">
      <c r="A72" t="s">
        <v>30</v>
      </c>
      <c r="B72" t="s">
        <v>54</v>
      </c>
      <c r="C72" t="s">
        <v>57</v>
      </c>
      <c r="D72">
        <v>215</v>
      </c>
      <c r="E72" t="s">
        <v>40</v>
      </c>
    </row>
    <row r="73" spans="1:5">
      <c r="A73" t="s">
        <v>30</v>
      </c>
      <c r="B73" t="s">
        <v>54</v>
      </c>
      <c r="C73" t="s">
        <v>58</v>
      </c>
      <c r="D73">
        <v>0</v>
      </c>
      <c r="E73" t="s">
        <v>40</v>
      </c>
    </row>
    <row r="74" spans="1:5">
      <c r="A74" t="s">
        <v>30</v>
      </c>
      <c r="B74" t="s">
        <v>54</v>
      </c>
      <c r="C74" t="s">
        <v>59</v>
      </c>
      <c r="D74">
        <v>20</v>
      </c>
      <c r="E74" t="s">
        <v>40</v>
      </c>
    </row>
    <row r="75" spans="1:5">
      <c r="A75" t="s">
        <v>30</v>
      </c>
      <c r="B75" t="s">
        <v>54</v>
      </c>
      <c r="C75" t="s">
        <v>51</v>
      </c>
      <c r="D75">
        <v>65</v>
      </c>
      <c r="E75" t="s">
        <v>40</v>
      </c>
    </row>
    <row r="76" spans="1:5">
      <c r="A76" t="s">
        <v>30</v>
      </c>
      <c r="B76" t="s">
        <v>54</v>
      </c>
      <c r="C76" t="s">
        <v>52</v>
      </c>
      <c r="D76">
        <v>201</v>
      </c>
      <c r="E76" t="s">
        <v>40</v>
      </c>
    </row>
    <row r="77" spans="1:5">
      <c r="A77" t="s">
        <v>31</v>
      </c>
      <c r="B77" t="s">
        <v>38</v>
      </c>
      <c r="C77" t="s">
        <v>39</v>
      </c>
      <c r="D77">
        <v>500</v>
      </c>
      <c r="E77" t="s">
        <v>40</v>
      </c>
    </row>
    <row r="78" spans="1:5">
      <c r="A78" t="s">
        <v>31</v>
      </c>
      <c r="B78" t="s">
        <v>38</v>
      </c>
      <c r="C78" t="s">
        <v>41</v>
      </c>
      <c r="D78">
        <v>97672</v>
      </c>
      <c r="E78" t="s">
        <v>40</v>
      </c>
    </row>
    <row r="79" spans="1:5">
      <c r="A79" t="s">
        <v>31</v>
      </c>
      <c r="B79" t="s">
        <v>38</v>
      </c>
      <c r="C79" t="s">
        <v>42</v>
      </c>
      <c r="D79">
        <v>44700</v>
      </c>
      <c r="E79" t="s">
        <v>40</v>
      </c>
    </row>
    <row r="80" spans="1:5">
      <c r="A80" t="s">
        <v>31</v>
      </c>
      <c r="B80" t="s">
        <v>38</v>
      </c>
      <c r="C80" t="s">
        <v>43</v>
      </c>
      <c r="D80">
        <v>29910</v>
      </c>
      <c r="E80" t="s">
        <v>40</v>
      </c>
    </row>
    <row r="81" spans="1:5">
      <c r="A81" t="s">
        <v>31</v>
      </c>
      <c r="B81" t="s">
        <v>38</v>
      </c>
      <c r="C81" t="s">
        <v>44</v>
      </c>
      <c r="D81">
        <v>14300</v>
      </c>
      <c r="E81" t="s">
        <v>40</v>
      </c>
    </row>
    <row r="82" spans="1:5">
      <c r="A82" t="s">
        <v>31</v>
      </c>
      <c r="B82" t="s">
        <v>38</v>
      </c>
      <c r="C82" t="s">
        <v>45</v>
      </c>
      <c r="D82">
        <v>13500</v>
      </c>
      <c r="E82" t="s">
        <v>40</v>
      </c>
    </row>
    <row r="83" spans="1:5">
      <c r="A83" t="s">
        <v>31</v>
      </c>
      <c r="B83" t="s">
        <v>38</v>
      </c>
      <c r="C83" t="s">
        <v>46</v>
      </c>
      <c r="D83">
        <v>2225</v>
      </c>
      <c r="E83" t="s">
        <v>40</v>
      </c>
    </row>
    <row r="84" spans="1:5">
      <c r="A84" t="s">
        <v>31</v>
      </c>
      <c r="B84" t="s">
        <v>38</v>
      </c>
      <c r="C84" t="s">
        <v>47</v>
      </c>
      <c r="D84">
        <v>26800</v>
      </c>
      <c r="E84" t="s">
        <v>40</v>
      </c>
    </row>
    <row r="85" spans="1:5">
      <c r="A85" t="s">
        <v>31</v>
      </c>
      <c r="B85" t="s">
        <v>38</v>
      </c>
      <c r="C85" t="s">
        <v>48</v>
      </c>
      <c r="D85">
        <v>51720</v>
      </c>
      <c r="E85" t="s">
        <v>40</v>
      </c>
    </row>
    <row r="86" spans="1:5">
      <c r="A86" t="s">
        <v>31</v>
      </c>
      <c r="B86" t="s">
        <v>38</v>
      </c>
      <c r="C86" t="s">
        <v>49</v>
      </c>
      <c r="D86">
        <v>16434</v>
      </c>
      <c r="E86" t="s">
        <v>40</v>
      </c>
    </row>
    <row r="87" spans="1:5">
      <c r="A87" t="s">
        <v>31</v>
      </c>
      <c r="B87" t="s">
        <v>38</v>
      </c>
      <c r="C87" t="s">
        <v>50</v>
      </c>
      <c r="D87">
        <v>0</v>
      </c>
      <c r="E87" t="s">
        <v>40</v>
      </c>
    </row>
    <row r="88" spans="1:5">
      <c r="A88" t="s">
        <v>31</v>
      </c>
      <c r="B88" t="s">
        <v>38</v>
      </c>
      <c r="C88" t="s">
        <v>51</v>
      </c>
      <c r="D88">
        <v>6990</v>
      </c>
      <c r="E88" t="s">
        <v>40</v>
      </c>
    </row>
    <row r="89" spans="1:5">
      <c r="A89" t="s">
        <v>31</v>
      </c>
      <c r="B89" t="s">
        <v>38</v>
      </c>
      <c r="C89" t="s">
        <v>52</v>
      </c>
      <c r="D89">
        <v>8400</v>
      </c>
      <c r="E89" t="s">
        <v>40</v>
      </c>
    </row>
    <row r="90" spans="1:5">
      <c r="A90" t="s">
        <v>31</v>
      </c>
      <c r="B90" t="s">
        <v>38</v>
      </c>
      <c r="C90" t="s">
        <v>53</v>
      </c>
      <c r="D90">
        <v>65360</v>
      </c>
      <c r="E90" t="s">
        <v>40</v>
      </c>
    </row>
    <row r="91" spans="1:5">
      <c r="A91" t="s">
        <v>31</v>
      </c>
      <c r="B91" t="s">
        <v>54</v>
      </c>
      <c r="C91" t="s">
        <v>39</v>
      </c>
      <c r="D91">
        <v>50</v>
      </c>
      <c r="E91" t="s">
        <v>40</v>
      </c>
    </row>
    <row r="92" spans="1:5">
      <c r="A92" t="s">
        <v>31</v>
      </c>
      <c r="B92" t="s">
        <v>54</v>
      </c>
      <c r="C92" t="s">
        <v>42</v>
      </c>
      <c r="D92">
        <v>305</v>
      </c>
      <c r="E92" t="s">
        <v>40</v>
      </c>
    </row>
    <row r="93" spans="1:5">
      <c r="A93" t="s">
        <v>31</v>
      </c>
      <c r="B93" t="s">
        <v>54</v>
      </c>
      <c r="C93" t="s">
        <v>55</v>
      </c>
      <c r="D93">
        <v>108</v>
      </c>
      <c r="E93" t="s">
        <v>40</v>
      </c>
    </row>
    <row r="94" spans="1:5">
      <c r="A94" t="s">
        <v>31</v>
      </c>
      <c r="B94" t="s">
        <v>54</v>
      </c>
      <c r="C94" t="s">
        <v>44</v>
      </c>
      <c r="D94">
        <v>390</v>
      </c>
      <c r="E94" t="s">
        <v>40</v>
      </c>
    </row>
    <row r="95" spans="1:5">
      <c r="A95" t="s">
        <v>31</v>
      </c>
      <c r="B95" t="s">
        <v>54</v>
      </c>
      <c r="C95" t="s">
        <v>56</v>
      </c>
      <c r="D95">
        <v>60</v>
      </c>
      <c r="E95" t="s">
        <v>40</v>
      </c>
    </row>
    <row r="96" spans="1:5">
      <c r="A96" t="s">
        <v>31</v>
      </c>
      <c r="B96" t="s">
        <v>54</v>
      </c>
      <c r="C96" t="s">
        <v>48</v>
      </c>
      <c r="D96">
        <v>360</v>
      </c>
      <c r="E96" t="s">
        <v>40</v>
      </c>
    </row>
    <row r="97" spans="1:5">
      <c r="A97" t="s">
        <v>31</v>
      </c>
      <c r="B97" t="s">
        <v>54</v>
      </c>
      <c r="C97" t="s">
        <v>57</v>
      </c>
      <c r="D97">
        <v>215</v>
      </c>
      <c r="E97" t="s">
        <v>40</v>
      </c>
    </row>
    <row r="98" spans="1:5">
      <c r="A98" t="s">
        <v>31</v>
      </c>
      <c r="B98" t="s">
        <v>54</v>
      </c>
      <c r="C98" t="s">
        <v>58</v>
      </c>
      <c r="D98">
        <v>270</v>
      </c>
      <c r="E98" t="s">
        <v>40</v>
      </c>
    </row>
    <row r="99" spans="1:5">
      <c r="A99" t="s">
        <v>31</v>
      </c>
      <c r="B99" t="s">
        <v>54</v>
      </c>
      <c r="C99" t="s">
        <v>59</v>
      </c>
      <c r="D99">
        <v>20</v>
      </c>
      <c r="E99" t="s">
        <v>40</v>
      </c>
    </row>
    <row r="100" spans="1:5">
      <c r="A100" t="s">
        <v>31</v>
      </c>
      <c r="B100" t="s">
        <v>54</v>
      </c>
      <c r="C100" t="s">
        <v>51</v>
      </c>
      <c r="D100">
        <v>65</v>
      </c>
      <c r="E100" t="s">
        <v>40</v>
      </c>
    </row>
    <row r="101" spans="1:5">
      <c r="A101" t="s">
        <v>31</v>
      </c>
      <c r="B101" t="s">
        <v>54</v>
      </c>
      <c r="C101" t="s">
        <v>52</v>
      </c>
      <c r="D101">
        <v>252</v>
      </c>
      <c r="E101" t="s">
        <v>40</v>
      </c>
    </row>
    <row r="102" spans="1:5">
      <c r="A102" t="s">
        <v>32</v>
      </c>
      <c r="B102" t="s">
        <v>38</v>
      </c>
      <c r="C102" t="s">
        <v>39</v>
      </c>
      <c r="D102">
        <v>500</v>
      </c>
      <c r="E102" t="s">
        <v>40</v>
      </c>
    </row>
    <row r="103" spans="1:5">
      <c r="A103" t="s">
        <v>32</v>
      </c>
      <c r="B103" t="s">
        <v>38</v>
      </c>
      <c r="C103" t="s">
        <v>41</v>
      </c>
      <c r="D103">
        <v>67533</v>
      </c>
      <c r="E103" t="s">
        <v>40</v>
      </c>
    </row>
    <row r="104" spans="1:5">
      <c r="A104" t="s">
        <v>32</v>
      </c>
      <c r="B104" t="s">
        <v>38</v>
      </c>
      <c r="C104" t="s">
        <v>42</v>
      </c>
      <c r="D104">
        <v>22350</v>
      </c>
      <c r="E104" t="s">
        <v>40</v>
      </c>
    </row>
    <row r="105" spans="1:5">
      <c r="A105" t="s">
        <v>32</v>
      </c>
      <c r="B105" t="s">
        <v>38</v>
      </c>
      <c r="C105" t="s">
        <v>43</v>
      </c>
      <c r="D105">
        <v>19040</v>
      </c>
      <c r="E105" t="s">
        <v>40</v>
      </c>
    </row>
    <row r="106" spans="1:5">
      <c r="A106" t="s">
        <v>32</v>
      </c>
      <c r="B106" t="s">
        <v>38</v>
      </c>
      <c r="C106" t="s">
        <v>44</v>
      </c>
      <c r="D106">
        <v>14300</v>
      </c>
      <c r="E106" t="s">
        <v>40</v>
      </c>
    </row>
    <row r="107" spans="1:5">
      <c r="A107" t="s">
        <v>32</v>
      </c>
      <c r="B107" t="s">
        <v>38</v>
      </c>
      <c r="C107" t="s">
        <v>45</v>
      </c>
      <c r="D107">
        <v>6750</v>
      </c>
      <c r="E107" t="s">
        <v>40</v>
      </c>
    </row>
    <row r="108" spans="1:5">
      <c r="A108" t="s">
        <v>32</v>
      </c>
      <c r="B108" t="s">
        <v>38</v>
      </c>
      <c r="C108" t="s">
        <v>46</v>
      </c>
      <c r="D108">
        <v>1075</v>
      </c>
      <c r="E108" t="s">
        <v>40</v>
      </c>
    </row>
    <row r="109" spans="1:5">
      <c r="A109" t="s">
        <v>32</v>
      </c>
      <c r="B109" t="s">
        <v>38</v>
      </c>
      <c r="C109" t="s">
        <v>47</v>
      </c>
      <c r="D109">
        <v>23200</v>
      </c>
      <c r="E109" t="s">
        <v>40</v>
      </c>
    </row>
    <row r="110" spans="1:5">
      <c r="A110" t="s">
        <v>32</v>
      </c>
      <c r="B110" t="s">
        <v>38</v>
      </c>
      <c r="C110" t="s">
        <v>48</v>
      </c>
      <c r="D110">
        <v>50410</v>
      </c>
      <c r="E110" t="s">
        <v>40</v>
      </c>
    </row>
    <row r="111" spans="1:5">
      <c r="A111" t="s">
        <v>32</v>
      </c>
      <c r="B111" t="s">
        <v>38</v>
      </c>
      <c r="C111" t="s">
        <v>49</v>
      </c>
      <c r="D111">
        <v>0</v>
      </c>
      <c r="E111" t="s">
        <v>40</v>
      </c>
    </row>
    <row r="112" spans="1:5">
      <c r="A112" t="s">
        <v>32</v>
      </c>
      <c r="B112" t="s">
        <v>38</v>
      </c>
      <c r="C112" t="s">
        <v>50</v>
      </c>
      <c r="D112">
        <v>0</v>
      </c>
      <c r="E112" t="s">
        <v>40</v>
      </c>
    </row>
    <row r="113" spans="1:5">
      <c r="A113" t="s">
        <v>32</v>
      </c>
      <c r="B113" t="s">
        <v>38</v>
      </c>
      <c r="C113" t="s">
        <v>51</v>
      </c>
      <c r="D113">
        <v>6990</v>
      </c>
      <c r="E113" t="s">
        <v>40</v>
      </c>
    </row>
    <row r="114" spans="1:5">
      <c r="A114" t="s">
        <v>32</v>
      </c>
      <c r="B114" t="s">
        <v>38</v>
      </c>
      <c r="C114" t="s">
        <v>52</v>
      </c>
      <c r="D114">
        <v>6700</v>
      </c>
      <c r="E114" t="s">
        <v>40</v>
      </c>
    </row>
    <row r="115" spans="1:5">
      <c r="A115" t="s">
        <v>32</v>
      </c>
      <c r="B115" t="s">
        <v>38</v>
      </c>
      <c r="C115" t="s">
        <v>53</v>
      </c>
      <c r="D115">
        <v>31192</v>
      </c>
      <c r="E115" t="s">
        <v>40</v>
      </c>
    </row>
    <row r="116" spans="1:5">
      <c r="A116" t="s">
        <v>32</v>
      </c>
      <c r="B116" t="s">
        <v>54</v>
      </c>
      <c r="C116" t="s">
        <v>39</v>
      </c>
      <c r="D116">
        <v>50</v>
      </c>
      <c r="E116" t="s">
        <v>40</v>
      </c>
    </row>
    <row r="117" spans="1:5">
      <c r="A117" t="s">
        <v>32</v>
      </c>
      <c r="B117" t="s">
        <v>54</v>
      </c>
      <c r="C117" t="s">
        <v>42</v>
      </c>
      <c r="D117">
        <v>305</v>
      </c>
      <c r="E117" t="s">
        <v>40</v>
      </c>
    </row>
    <row r="118" spans="1:5">
      <c r="A118" t="s">
        <v>32</v>
      </c>
      <c r="B118" t="s">
        <v>54</v>
      </c>
      <c r="C118" t="s">
        <v>55</v>
      </c>
      <c r="D118">
        <v>42</v>
      </c>
      <c r="E118" t="s">
        <v>40</v>
      </c>
    </row>
    <row r="119" spans="1:5">
      <c r="A119" t="s">
        <v>32</v>
      </c>
      <c r="B119" t="s">
        <v>54</v>
      </c>
      <c r="C119" t="s">
        <v>44</v>
      </c>
      <c r="D119">
        <v>390</v>
      </c>
      <c r="E119" t="s">
        <v>40</v>
      </c>
    </row>
    <row r="120" spans="1:5">
      <c r="A120" t="s">
        <v>32</v>
      </c>
      <c r="B120" t="s">
        <v>54</v>
      </c>
      <c r="C120" t="s">
        <v>56</v>
      </c>
      <c r="D120">
        <v>44</v>
      </c>
      <c r="E120" t="s">
        <v>40</v>
      </c>
    </row>
    <row r="121" spans="1:5">
      <c r="A121" t="s">
        <v>32</v>
      </c>
      <c r="B121" t="s">
        <v>54</v>
      </c>
      <c r="C121" t="s">
        <v>48</v>
      </c>
      <c r="D121">
        <v>345</v>
      </c>
      <c r="E121" t="s">
        <v>40</v>
      </c>
    </row>
    <row r="122" spans="1:5">
      <c r="A122" t="s">
        <v>32</v>
      </c>
      <c r="B122" t="s">
        <v>54</v>
      </c>
      <c r="C122" t="s">
        <v>57</v>
      </c>
      <c r="D122">
        <v>215</v>
      </c>
      <c r="E122" t="s">
        <v>40</v>
      </c>
    </row>
    <row r="123" spans="1:5">
      <c r="A123" t="s">
        <v>32</v>
      </c>
      <c r="B123" t="s">
        <v>54</v>
      </c>
      <c r="C123" t="s">
        <v>58</v>
      </c>
      <c r="D123">
        <v>0</v>
      </c>
      <c r="E123" t="s">
        <v>40</v>
      </c>
    </row>
    <row r="124" spans="1:5">
      <c r="A124" t="s">
        <v>32</v>
      </c>
      <c r="B124" t="s">
        <v>54</v>
      </c>
      <c r="C124" t="s">
        <v>59</v>
      </c>
      <c r="D124">
        <v>20</v>
      </c>
      <c r="E124" t="s">
        <v>40</v>
      </c>
    </row>
    <row r="125" spans="1:5">
      <c r="A125" t="s">
        <v>32</v>
      </c>
      <c r="B125" t="s">
        <v>54</v>
      </c>
      <c r="C125" t="s">
        <v>51</v>
      </c>
      <c r="D125">
        <v>65</v>
      </c>
      <c r="E125" t="s">
        <v>40</v>
      </c>
    </row>
    <row r="126" spans="1:5">
      <c r="A126" t="s">
        <v>32</v>
      </c>
      <c r="B126" t="s">
        <v>54</v>
      </c>
      <c r="C126" t="s">
        <v>52</v>
      </c>
      <c r="D126">
        <v>201</v>
      </c>
      <c r="E126" t="s">
        <v>40</v>
      </c>
    </row>
  </sheetData>
  <autoFilter ref="A1:E12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3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2.7109375" customWidth="1"/>
    <col min="2" max="2" width="31.7109375" customWidth="1"/>
    <col min="3" max="3" width="11.7109375" customWidth="1"/>
    <col min="4" max="4" width="14.7109375" customWidth="1"/>
    <col min="5" max="5" width="17.7109375" customWidth="1"/>
    <col min="6" max="6" width="24.7109375" customWidth="1"/>
    <col min="7" max="7" width="22.7109375" customWidth="1"/>
    <col min="8" max="8" width="18.7109375" customWidth="1"/>
    <col min="9" max="9" width="20.7109375" customWidth="1"/>
    <col min="10" max="10" width="18.7109375" customWidth="1"/>
    <col min="11" max="11" width="27.7109375" customWidth="1"/>
  </cols>
  <sheetData>
    <row r="1" spans="1:11" ht="32" customHeight="1">
      <c r="A1" s="4" t="s">
        <v>19</v>
      </c>
      <c r="B1" s="4" t="s">
        <v>60</v>
      </c>
      <c r="C1" s="4" t="s">
        <v>34</v>
      </c>
      <c r="D1" s="4" t="s">
        <v>61</v>
      </c>
      <c r="E1" s="4" t="s">
        <v>62</v>
      </c>
      <c r="F1" s="4" t="s">
        <v>63</v>
      </c>
      <c r="G1" s="4" t="s">
        <v>64</v>
      </c>
      <c r="H1" s="4" t="s">
        <v>65</v>
      </c>
      <c r="I1" s="4" t="s">
        <v>66</v>
      </c>
      <c r="J1" s="4" t="s">
        <v>67</v>
      </c>
      <c r="K1" s="4" t="s">
        <v>68</v>
      </c>
    </row>
    <row r="2" spans="1:11">
      <c r="A2" t="s">
        <v>28</v>
      </c>
      <c r="B2" t="s">
        <v>69</v>
      </c>
      <c r="C2" t="s">
        <v>70</v>
      </c>
      <c r="D2" s="5">
        <v>800</v>
      </c>
      <c r="E2" s="5">
        <v>500</v>
      </c>
      <c r="F2" s="5">
        <v>563.65</v>
      </c>
      <c r="G2" s="6">
        <v>0.4</v>
      </c>
      <c r="H2" s="7">
        <f>IF(F2*G2&gt;0,ROUNDUP(MAX(0,D2-E2)/(F2*G2),0),0)</f>
        <v>2</v>
      </c>
      <c r="I2" s="7">
        <f>ROUNDUP(H2*J2/7,0)</f>
        <v>2</v>
      </c>
      <c r="J2" s="5">
        <v>6</v>
      </c>
      <c r="K2">
        <v>1</v>
      </c>
    </row>
    <row r="3" spans="1:11">
      <c r="A3" t="s">
        <v>28</v>
      </c>
      <c r="B3" t="s">
        <v>71</v>
      </c>
      <c r="C3" t="s">
        <v>70</v>
      </c>
      <c r="D3" s="5">
        <v>3000</v>
      </c>
      <c r="E3" s="5">
        <v>500</v>
      </c>
      <c r="F3" s="5">
        <v>563.65</v>
      </c>
      <c r="G3" s="6">
        <v>0.4</v>
      </c>
      <c r="H3" s="7">
        <f>IF(F3*G3&gt;0,ROUNDUP(MAX(0,D3-E3)/(F3*G3),0),0)</f>
        <v>12</v>
      </c>
      <c r="I3" s="7">
        <f>ROUNDUP(H3*J3/7,0)</f>
        <v>11</v>
      </c>
      <c r="J3" s="5">
        <v>6</v>
      </c>
      <c r="K3">
        <v>6</v>
      </c>
    </row>
    <row r="4" spans="1:11">
      <c r="A4" t="s">
        <v>28</v>
      </c>
      <c r="B4" t="s">
        <v>72</v>
      </c>
      <c r="C4" t="s">
        <v>70</v>
      </c>
      <c r="D4" s="5">
        <v>7500</v>
      </c>
      <c r="E4" s="5">
        <v>500</v>
      </c>
      <c r="F4" s="5">
        <v>563.65</v>
      </c>
      <c r="G4" s="6">
        <v>0.4</v>
      </c>
      <c r="H4" s="7">
        <f>IF(F4*G4&gt;0,ROUNDUP(MAX(0,D4-E4)/(F4*G4),0),0)</f>
        <v>32</v>
      </c>
      <c r="I4" s="7">
        <f>ROUNDUP(H4*J4/7,0)</f>
        <v>28</v>
      </c>
      <c r="J4" s="5">
        <v>6</v>
      </c>
      <c r="K4">
        <v>15</v>
      </c>
    </row>
    <row r="5" spans="1:11">
      <c r="A5" t="s">
        <v>28</v>
      </c>
      <c r="B5" t="s">
        <v>73</v>
      </c>
      <c r="C5" t="s">
        <v>70</v>
      </c>
      <c r="D5" s="5">
        <v>35600</v>
      </c>
      <c r="E5" s="5">
        <v>500</v>
      </c>
      <c r="F5" s="5">
        <v>563.65</v>
      </c>
      <c r="G5" s="6">
        <v>0.4</v>
      </c>
      <c r="H5" s="7">
        <f>IF(F5*G5&gt;0,ROUNDUP(MAX(0,D5-E5)/(F5*G5),0),0)</f>
        <v>156</v>
      </c>
      <c r="I5" s="7">
        <f>ROUNDUP(H5*J5/7,0)</f>
        <v>134</v>
      </c>
      <c r="J5" s="5">
        <v>6</v>
      </c>
      <c r="K5">
        <v>71</v>
      </c>
    </row>
    <row r="6" spans="1:11">
      <c r="A6" t="s">
        <v>28</v>
      </c>
      <c r="B6" t="s">
        <v>74</v>
      </c>
      <c r="C6" t="s">
        <v>75</v>
      </c>
      <c r="D6" s="5">
        <v>200</v>
      </c>
      <c r="E6" s="5">
        <v>50</v>
      </c>
      <c r="F6" s="5">
        <v>5.15</v>
      </c>
      <c r="G6" s="6">
        <v>0.75</v>
      </c>
      <c r="H6" s="7">
        <f>IF(F6*G6&gt;0,ROUNDUP(MAX(0,D6-E6)/(F6*G6),0),0)</f>
        <v>39</v>
      </c>
      <c r="I6" s="7">
        <f>ROUNDUP(H6*J6/7,0)</f>
        <v>34</v>
      </c>
      <c r="J6" s="5">
        <v>6</v>
      </c>
      <c r="K6">
        <v>24</v>
      </c>
    </row>
    <row r="7" spans="1:11">
      <c r="A7" t="s">
        <v>28</v>
      </c>
      <c r="B7" t="s">
        <v>76</v>
      </c>
      <c r="C7" t="s">
        <v>75</v>
      </c>
      <c r="D7" s="5">
        <v>600</v>
      </c>
      <c r="E7" s="5">
        <v>50</v>
      </c>
      <c r="F7" s="5">
        <v>5.15</v>
      </c>
      <c r="G7" s="6">
        <v>0.75</v>
      </c>
      <c r="H7" s="7">
        <f>IF(F7*G7&gt;0,ROUNDUP(MAX(0,D7-E7)/(F7*G7),0),0)</f>
        <v>143</v>
      </c>
      <c r="I7" s="7">
        <f>ROUNDUP(H7*J7/7,0)</f>
        <v>123</v>
      </c>
      <c r="J7" s="5">
        <v>6</v>
      </c>
      <c r="K7" t="s">
        <v>77</v>
      </c>
    </row>
    <row r="8" spans="1:11">
      <c r="A8" t="s">
        <v>28</v>
      </c>
      <c r="B8" t="s">
        <v>78</v>
      </c>
      <c r="C8" t="s">
        <v>75</v>
      </c>
      <c r="D8" s="5">
        <v>1700</v>
      </c>
      <c r="E8" s="5">
        <v>50</v>
      </c>
      <c r="F8" s="5">
        <v>5.15</v>
      </c>
      <c r="G8" s="6">
        <v>0.75</v>
      </c>
      <c r="H8" s="7">
        <f>IF(F8*G8&gt;0,ROUNDUP(MAX(0,D8-E8)/(F8*G8),0),0)</f>
        <v>428</v>
      </c>
      <c r="I8" s="7">
        <f>ROUNDUP(H8*J8/7,0)</f>
        <v>367</v>
      </c>
      <c r="J8" s="5">
        <v>6</v>
      </c>
      <c r="K8" t="s">
        <v>77</v>
      </c>
    </row>
    <row r="9" spans="1:11">
      <c r="A9" t="s">
        <v>29</v>
      </c>
      <c r="B9" t="s">
        <v>69</v>
      </c>
      <c r="C9" t="s">
        <v>70</v>
      </c>
      <c r="D9" s="5">
        <v>800</v>
      </c>
      <c r="E9" s="5">
        <v>500</v>
      </c>
      <c r="F9" s="5">
        <v>1023.333333333333</v>
      </c>
      <c r="G9" s="6">
        <v>0.4</v>
      </c>
      <c r="H9" s="7">
        <f>IF(F9*G9&gt;0,ROUNDUP(MAX(0,D9-E9)/(F9*G9),0),0)</f>
        <v>1</v>
      </c>
      <c r="I9" s="7">
        <f>ROUNDUP(H9*J9/7,0)</f>
        <v>2</v>
      </c>
      <c r="J9" s="5">
        <v>8</v>
      </c>
      <c r="K9">
        <v>1</v>
      </c>
    </row>
    <row r="10" spans="1:11">
      <c r="A10" t="s">
        <v>29</v>
      </c>
      <c r="B10" t="s">
        <v>71</v>
      </c>
      <c r="C10" t="s">
        <v>70</v>
      </c>
      <c r="D10" s="5">
        <v>3000</v>
      </c>
      <c r="E10" s="5">
        <v>500</v>
      </c>
      <c r="F10" s="5">
        <v>1023.333333333333</v>
      </c>
      <c r="G10" s="6">
        <v>0.4</v>
      </c>
      <c r="H10" s="7">
        <f>IF(F10*G10&gt;0,ROUNDUP(MAX(0,D10-E10)/(F10*G10),0),0)</f>
        <v>7</v>
      </c>
      <c r="I10" s="7">
        <f>ROUNDUP(H10*J10/7,0)</f>
        <v>8</v>
      </c>
      <c r="J10" s="5">
        <v>8</v>
      </c>
      <c r="K10">
        <v>5</v>
      </c>
    </row>
    <row r="11" spans="1:11">
      <c r="A11" t="s">
        <v>29</v>
      </c>
      <c r="B11" t="s">
        <v>72</v>
      </c>
      <c r="C11" t="s">
        <v>70</v>
      </c>
      <c r="D11" s="5">
        <v>7500</v>
      </c>
      <c r="E11" s="5">
        <v>500</v>
      </c>
      <c r="F11" s="5">
        <v>1023.333333333333</v>
      </c>
      <c r="G11" s="6">
        <v>0.4</v>
      </c>
      <c r="H11" s="7">
        <f>IF(F11*G11&gt;0,ROUNDUP(MAX(0,D11-E11)/(F11*G11),0),0)</f>
        <v>18</v>
      </c>
      <c r="I11" s="7">
        <f>ROUNDUP(H11*J11/7,0)</f>
        <v>21</v>
      </c>
      <c r="J11" s="5">
        <v>8</v>
      </c>
      <c r="K11">
        <v>10</v>
      </c>
    </row>
    <row r="12" spans="1:11">
      <c r="A12" t="s">
        <v>29</v>
      </c>
      <c r="B12" t="s">
        <v>73</v>
      </c>
      <c r="C12" t="s">
        <v>70</v>
      </c>
      <c r="D12" s="5">
        <v>35600</v>
      </c>
      <c r="E12" s="5">
        <v>500</v>
      </c>
      <c r="F12" s="5">
        <v>1023.333333333333</v>
      </c>
      <c r="G12" s="6">
        <v>0.4</v>
      </c>
      <c r="H12" s="7">
        <f>IF(F12*G12&gt;0,ROUNDUP(MAX(0,D12-E12)/(F12*G12),0),0)</f>
        <v>86</v>
      </c>
      <c r="I12" s="7">
        <f>ROUNDUP(H12*J12/7,0)</f>
        <v>99</v>
      </c>
      <c r="J12" s="5">
        <v>8</v>
      </c>
      <c r="K12">
        <v>35</v>
      </c>
    </row>
    <row r="13" spans="1:11">
      <c r="A13" t="s">
        <v>29</v>
      </c>
      <c r="B13" t="s">
        <v>74</v>
      </c>
      <c r="C13" t="s">
        <v>75</v>
      </c>
      <c r="D13" s="5">
        <v>200</v>
      </c>
      <c r="E13" s="5">
        <v>50</v>
      </c>
      <c r="F13" s="5">
        <v>7.983333333333333</v>
      </c>
      <c r="G13" s="6">
        <v>0.75</v>
      </c>
      <c r="H13" s="7">
        <f>IF(F13*G13&gt;0,ROUNDUP(MAX(0,D13-E13)/(F13*G13),0),0)</f>
        <v>26</v>
      </c>
      <c r="I13" s="7">
        <f>ROUNDUP(H13*J13/7,0)</f>
        <v>30</v>
      </c>
      <c r="J13" s="5">
        <v>8</v>
      </c>
      <c r="K13">
        <v>12</v>
      </c>
    </row>
    <row r="14" spans="1:11">
      <c r="A14" t="s">
        <v>29</v>
      </c>
      <c r="B14" t="s">
        <v>76</v>
      </c>
      <c r="C14" t="s">
        <v>75</v>
      </c>
      <c r="D14" s="5">
        <v>600</v>
      </c>
      <c r="E14" s="5">
        <v>50</v>
      </c>
      <c r="F14" s="5">
        <v>7.983333333333333</v>
      </c>
      <c r="G14" s="6">
        <v>0.75</v>
      </c>
      <c r="H14" s="7">
        <f>IF(F14*G14&gt;0,ROUNDUP(MAX(0,D14-E14)/(F14*G14),0),0)</f>
        <v>92</v>
      </c>
      <c r="I14" s="7">
        <f>ROUNDUP(H14*J14/7,0)</f>
        <v>106</v>
      </c>
      <c r="J14" s="5">
        <v>8</v>
      </c>
      <c r="K14">
        <v>49</v>
      </c>
    </row>
    <row r="15" spans="1:11">
      <c r="A15" t="s">
        <v>29</v>
      </c>
      <c r="B15" t="s">
        <v>78</v>
      </c>
      <c r="C15" t="s">
        <v>75</v>
      </c>
      <c r="D15" s="5">
        <v>1700</v>
      </c>
      <c r="E15" s="5">
        <v>50</v>
      </c>
      <c r="F15" s="5">
        <v>7.983333333333333</v>
      </c>
      <c r="G15" s="6">
        <v>0.75</v>
      </c>
      <c r="H15" s="7">
        <f>IF(F15*G15&gt;0,ROUNDUP(MAX(0,D15-E15)/(F15*G15),0),0)</f>
        <v>276</v>
      </c>
      <c r="I15" s="7">
        <f>ROUNDUP(H15*J15/7,0)</f>
        <v>316</v>
      </c>
      <c r="J15" s="5">
        <v>8</v>
      </c>
      <c r="K15" t="s">
        <v>77</v>
      </c>
    </row>
    <row r="16" spans="1:11">
      <c r="A16" t="s">
        <v>30</v>
      </c>
      <c r="B16" t="s">
        <v>69</v>
      </c>
      <c r="C16" t="s">
        <v>70</v>
      </c>
      <c r="D16" s="5">
        <v>800</v>
      </c>
      <c r="E16" s="5">
        <v>500</v>
      </c>
      <c r="F16" s="5">
        <v>2444.816666666667</v>
      </c>
      <c r="G16" s="6">
        <v>0.4</v>
      </c>
      <c r="H16" s="7">
        <f>IF(F16*G16&gt;0,ROUNDUP(MAX(0,D16-E16)/(F16*G16),0),0)</f>
        <v>1</v>
      </c>
      <c r="I16" s="7">
        <f>ROUNDUP(H16*J16/7,0)</f>
        <v>3</v>
      </c>
      <c r="J16" s="5">
        <v>21</v>
      </c>
      <c r="K16">
        <v>1</v>
      </c>
    </row>
    <row r="17" spans="1:11">
      <c r="A17" t="s">
        <v>30</v>
      </c>
      <c r="B17" t="s">
        <v>71</v>
      </c>
      <c r="C17" t="s">
        <v>70</v>
      </c>
      <c r="D17" s="5">
        <v>3000</v>
      </c>
      <c r="E17" s="5">
        <v>500</v>
      </c>
      <c r="F17" s="5">
        <v>2444.816666666667</v>
      </c>
      <c r="G17" s="6">
        <v>0.4</v>
      </c>
      <c r="H17" s="7">
        <f>IF(F17*G17&gt;0,ROUNDUP(MAX(0,D17-E17)/(F17*G17),0),0)</f>
        <v>3</v>
      </c>
      <c r="I17" s="7">
        <f>ROUNDUP(H17*J17/7,0)</f>
        <v>9</v>
      </c>
      <c r="J17" s="5">
        <v>21</v>
      </c>
      <c r="K17">
        <v>2</v>
      </c>
    </row>
    <row r="18" spans="1:11">
      <c r="A18" t="s">
        <v>30</v>
      </c>
      <c r="B18" t="s">
        <v>72</v>
      </c>
      <c r="C18" t="s">
        <v>70</v>
      </c>
      <c r="D18" s="5">
        <v>7500</v>
      </c>
      <c r="E18" s="5">
        <v>500</v>
      </c>
      <c r="F18" s="5">
        <v>2444.816666666667</v>
      </c>
      <c r="G18" s="6">
        <v>0.4</v>
      </c>
      <c r="H18" s="7">
        <f>IF(F18*G18&gt;0,ROUNDUP(MAX(0,D18-E18)/(F18*G18),0),0)</f>
        <v>8</v>
      </c>
      <c r="I18" s="7">
        <f>ROUNDUP(H18*J18/7,0)</f>
        <v>24</v>
      </c>
      <c r="J18" s="5">
        <v>21</v>
      </c>
      <c r="K18">
        <v>4</v>
      </c>
    </row>
    <row r="19" spans="1:11">
      <c r="A19" t="s">
        <v>30</v>
      </c>
      <c r="B19" t="s">
        <v>73</v>
      </c>
      <c r="C19" t="s">
        <v>70</v>
      </c>
      <c r="D19" s="5">
        <v>35600</v>
      </c>
      <c r="E19" s="5">
        <v>500</v>
      </c>
      <c r="F19" s="5">
        <v>2444.816666666667</v>
      </c>
      <c r="G19" s="6">
        <v>0.4</v>
      </c>
      <c r="H19" s="7">
        <f>IF(F19*G19&gt;0,ROUNDUP(MAX(0,D19-E19)/(F19*G19),0),0)</f>
        <v>36</v>
      </c>
      <c r="I19" s="7">
        <f>ROUNDUP(H19*J19/7,0)</f>
        <v>108</v>
      </c>
      <c r="J19" s="5">
        <v>21</v>
      </c>
      <c r="K19">
        <v>15</v>
      </c>
    </row>
    <row r="20" spans="1:11">
      <c r="A20" t="s">
        <v>30</v>
      </c>
      <c r="B20" t="s">
        <v>74</v>
      </c>
      <c r="C20" t="s">
        <v>75</v>
      </c>
      <c r="D20" s="5">
        <v>200</v>
      </c>
      <c r="E20" s="5">
        <v>50</v>
      </c>
      <c r="F20" s="5">
        <v>15.95</v>
      </c>
      <c r="G20" s="6">
        <v>0.75</v>
      </c>
      <c r="H20" s="7">
        <f>IF(F20*G20&gt;0,ROUNDUP(MAX(0,D20-E20)/(F20*G20),0),0)</f>
        <v>13</v>
      </c>
      <c r="I20" s="7">
        <f>ROUNDUP(H20*J20/7,0)</f>
        <v>39</v>
      </c>
      <c r="J20" s="5">
        <v>21</v>
      </c>
      <c r="K20">
        <v>5</v>
      </c>
    </row>
    <row r="21" spans="1:11">
      <c r="A21" t="s">
        <v>30</v>
      </c>
      <c r="B21" t="s">
        <v>76</v>
      </c>
      <c r="C21" t="s">
        <v>75</v>
      </c>
      <c r="D21" s="5">
        <v>600</v>
      </c>
      <c r="E21" s="5">
        <v>50</v>
      </c>
      <c r="F21" s="5">
        <v>15.95</v>
      </c>
      <c r="G21" s="6">
        <v>0.75</v>
      </c>
      <c r="H21" s="7">
        <f>IF(F21*G21&gt;0,ROUNDUP(MAX(0,D21-E21)/(F21*G21),0),0)</f>
        <v>46</v>
      </c>
      <c r="I21" s="7">
        <f>ROUNDUP(H21*J21/7,0)</f>
        <v>138</v>
      </c>
      <c r="J21" s="5">
        <v>21</v>
      </c>
      <c r="K21">
        <v>22</v>
      </c>
    </row>
    <row r="22" spans="1:11">
      <c r="A22" t="s">
        <v>30</v>
      </c>
      <c r="B22" t="s">
        <v>78</v>
      </c>
      <c r="C22" t="s">
        <v>75</v>
      </c>
      <c r="D22" s="5">
        <v>1700</v>
      </c>
      <c r="E22" s="5">
        <v>50</v>
      </c>
      <c r="F22" s="5">
        <v>15.95</v>
      </c>
      <c r="G22" s="6">
        <v>0.75</v>
      </c>
      <c r="H22" s="7">
        <f>IF(F22*G22&gt;0,ROUNDUP(MAX(0,D22-E22)/(F22*G22),0),0)</f>
        <v>138</v>
      </c>
      <c r="I22" s="7">
        <f>ROUNDUP(H22*J22/7,0)</f>
        <v>414</v>
      </c>
      <c r="J22" s="5">
        <v>21</v>
      </c>
      <c r="K22" t="s">
        <v>77</v>
      </c>
    </row>
    <row r="23" spans="1:11">
      <c r="A23" t="s">
        <v>31</v>
      </c>
      <c r="B23" t="s">
        <v>69</v>
      </c>
      <c r="C23" t="s">
        <v>70</v>
      </c>
      <c r="D23" s="5">
        <v>800</v>
      </c>
      <c r="E23" s="5">
        <v>500</v>
      </c>
      <c r="F23" s="5">
        <v>3807.983333333333</v>
      </c>
      <c r="G23" s="6">
        <v>0.4</v>
      </c>
      <c r="H23" s="7">
        <f>IF(F23*G23&gt;0,ROUNDUP(MAX(0,D23-E23)/(F23*G23),0),0)</f>
        <v>1</v>
      </c>
      <c r="I23" s="7">
        <f>ROUNDUP(H23*J23/7,0)</f>
        <v>6</v>
      </c>
      <c r="J23" s="5">
        <v>42</v>
      </c>
      <c r="K23">
        <v>1</v>
      </c>
    </row>
    <row r="24" spans="1:11">
      <c r="A24" t="s">
        <v>31</v>
      </c>
      <c r="B24" t="s">
        <v>71</v>
      </c>
      <c r="C24" t="s">
        <v>70</v>
      </c>
      <c r="D24" s="5">
        <v>3000</v>
      </c>
      <c r="E24" s="5">
        <v>500</v>
      </c>
      <c r="F24" s="5">
        <v>3807.983333333333</v>
      </c>
      <c r="G24" s="6">
        <v>0.4</v>
      </c>
      <c r="H24" s="7">
        <f>IF(F24*G24&gt;0,ROUNDUP(MAX(0,D24-E24)/(F24*G24),0),0)</f>
        <v>2</v>
      </c>
      <c r="I24" s="7">
        <f>ROUNDUP(H24*J24/7,0)</f>
        <v>12</v>
      </c>
      <c r="J24" s="5">
        <v>42</v>
      </c>
      <c r="K24">
        <v>1</v>
      </c>
    </row>
    <row r="25" spans="1:11">
      <c r="A25" t="s">
        <v>31</v>
      </c>
      <c r="B25" t="s">
        <v>72</v>
      </c>
      <c r="C25" t="s">
        <v>70</v>
      </c>
      <c r="D25" s="5">
        <v>7500</v>
      </c>
      <c r="E25" s="5">
        <v>500</v>
      </c>
      <c r="F25" s="5">
        <v>3807.983333333333</v>
      </c>
      <c r="G25" s="6">
        <v>0.4</v>
      </c>
      <c r="H25" s="7">
        <f>IF(F25*G25&gt;0,ROUNDUP(MAX(0,D25-E25)/(F25*G25),0),0)</f>
        <v>5</v>
      </c>
      <c r="I25" s="7">
        <f>ROUNDUP(H25*J25/7,0)</f>
        <v>30</v>
      </c>
      <c r="J25" s="5">
        <v>42</v>
      </c>
      <c r="K25">
        <v>2</v>
      </c>
    </row>
    <row r="26" spans="1:11">
      <c r="A26" t="s">
        <v>31</v>
      </c>
      <c r="B26" t="s">
        <v>73</v>
      </c>
      <c r="C26" t="s">
        <v>70</v>
      </c>
      <c r="D26" s="5">
        <v>35600</v>
      </c>
      <c r="E26" s="5">
        <v>500</v>
      </c>
      <c r="F26" s="5">
        <v>3807.983333333333</v>
      </c>
      <c r="G26" s="6">
        <v>0.4</v>
      </c>
      <c r="H26" s="7">
        <f>IF(F26*G26&gt;0,ROUNDUP(MAX(0,D26-E26)/(F26*G26),0),0)</f>
        <v>24</v>
      </c>
      <c r="I26" s="7">
        <f>ROUNDUP(H26*J26/7,0)</f>
        <v>144</v>
      </c>
      <c r="J26" s="5">
        <v>42</v>
      </c>
      <c r="K26">
        <v>8</v>
      </c>
    </row>
    <row r="27" spans="1:11">
      <c r="A27" t="s">
        <v>31</v>
      </c>
      <c r="B27" t="s">
        <v>74</v>
      </c>
      <c r="C27" t="s">
        <v>75</v>
      </c>
      <c r="D27" s="5">
        <v>200</v>
      </c>
      <c r="E27" s="5">
        <v>50</v>
      </c>
      <c r="F27" s="5">
        <v>16.76666666666667</v>
      </c>
      <c r="G27" s="6">
        <v>0.75</v>
      </c>
      <c r="H27" s="7">
        <f>IF(F27*G27&gt;0,ROUNDUP(MAX(0,D27-E27)/(F27*G27),0),0)</f>
        <v>12</v>
      </c>
      <c r="I27" s="7">
        <f>ROUNDUP(H27*J27/7,0)</f>
        <v>72</v>
      </c>
      <c r="J27" s="5">
        <v>42</v>
      </c>
      <c r="K27">
        <v>3</v>
      </c>
    </row>
    <row r="28" spans="1:11">
      <c r="A28" t="s">
        <v>31</v>
      </c>
      <c r="B28" t="s">
        <v>76</v>
      </c>
      <c r="C28" t="s">
        <v>75</v>
      </c>
      <c r="D28" s="5">
        <v>600</v>
      </c>
      <c r="E28" s="5">
        <v>50</v>
      </c>
      <c r="F28" s="5">
        <v>16.76666666666667</v>
      </c>
      <c r="G28" s="6">
        <v>0.75</v>
      </c>
      <c r="H28" s="7">
        <f>IF(F28*G28&gt;0,ROUNDUP(MAX(0,D28-E28)/(F28*G28),0),0)</f>
        <v>44</v>
      </c>
      <c r="I28" s="7">
        <f>ROUNDUP(H28*J28/7,0)</f>
        <v>264</v>
      </c>
      <c r="J28" s="5">
        <v>42</v>
      </c>
      <c r="K28">
        <v>14</v>
      </c>
    </row>
    <row r="29" spans="1:11">
      <c r="A29" t="s">
        <v>31</v>
      </c>
      <c r="B29" t="s">
        <v>78</v>
      </c>
      <c r="C29" t="s">
        <v>75</v>
      </c>
      <c r="D29" s="5">
        <v>1700</v>
      </c>
      <c r="E29" s="5">
        <v>50</v>
      </c>
      <c r="F29" s="5">
        <v>16.76666666666667</v>
      </c>
      <c r="G29" s="6">
        <v>0.75</v>
      </c>
      <c r="H29" s="7">
        <f>IF(F29*G29&gt;0,ROUNDUP(MAX(0,D29-E29)/(F29*G29),0),0)</f>
        <v>132</v>
      </c>
      <c r="I29" s="7">
        <f>ROUNDUP(H29*J29/7,0)</f>
        <v>792</v>
      </c>
      <c r="J29" s="5">
        <v>42</v>
      </c>
      <c r="K29">
        <v>64</v>
      </c>
    </row>
    <row r="30" spans="1:11">
      <c r="A30" t="s">
        <v>32</v>
      </c>
      <c r="B30" t="s">
        <v>69</v>
      </c>
      <c r="C30" t="s">
        <v>70</v>
      </c>
      <c r="D30" s="5">
        <v>800</v>
      </c>
      <c r="E30" s="5">
        <v>500</v>
      </c>
      <c r="F30" s="5">
        <v>2820.05</v>
      </c>
      <c r="G30" s="6">
        <v>0.4</v>
      </c>
      <c r="H30" s="7">
        <f>IF(F30*G30&gt;0,ROUNDUP(MAX(0,D30-E30)/(F30*G30),0),0)</f>
        <v>1</v>
      </c>
      <c r="I30" s="7">
        <f>ROUNDUP(H30*J30/7,0)</f>
        <v>3</v>
      </c>
      <c r="J30" s="5">
        <v>21</v>
      </c>
      <c r="K30">
        <v>1</v>
      </c>
    </row>
    <row r="31" spans="1:11">
      <c r="A31" t="s">
        <v>32</v>
      </c>
      <c r="B31" t="s">
        <v>71</v>
      </c>
      <c r="C31" t="s">
        <v>70</v>
      </c>
      <c r="D31" s="5">
        <v>3000</v>
      </c>
      <c r="E31" s="5">
        <v>500</v>
      </c>
      <c r="F31" s="5">
        <v>2820.05</v>
      </c>
      <c r="G31" s="6">
        <v>0.4</v>
      </c>
      <c r="H31" s="7">
        <f>IF(F31*G31&gt;0,ROUNDUP(MAX(0,D31-E31)/(F31*G31),0),0)</f>
        <v>3</v>
      </c>
      <c r="I31" s="7">
        <f>ROUNDUP(H31*J31/7,0)</f>
        <v>9</v>
      </c>
      <c r="J31" s="5">
        <v>21</v>
      </c>
      <c r="K31">
        <v>2</v>
      </c>
    </row>
    <row r="32" spans="1:11">
      <c r="A32" t="s">
        <v>32</v>
      </c>
      <c r="B32" t="s">
        <v>72</v>
      </c>
      <c r="C32" t="s">
        <v>70</v>
      </c>
      <c r="D32" s="5">
        <v>7500</v>
      </c>
      <c r="E32" s="5">
        <v>500</v>
      </c>
      <c r="F32" s="5">
        <v>2820.05</v>
      </c>
      <c r="G32" s="6">
        <v>0.4</v>
      </c>
      <c r="H32" s="7">
        <f>IF(F32*G32&gt;0,ROUNDUP(MAX(0,D32-E32)/(F32*G32),0),0)</f>
        <v>7</v>
      </c>
      <c r="I32" s="7">
        <f>ROUNDUP(H32*J32/7,0)</f>
        <v>21</v>
      </c>
      <c r="J32" s="5">
        <v>21</v>
      </c>
      <c r="K32">
        <v>4</v>
      </c>
    </row>
    <row r="33" spans="1:11">
      <c r="A33" t="s">
        <v>32</v>
      </c>
      <c r="B33" t="s">
        <v>73</v>
      </c>
      <c r="C33" t="s">
        <v>70</v>
      </c>
      <c r="D33" s="5">
        <v>35600</v>
      </c>
      <c r="E33" s="5">
        <v>500</v>
      </c>
      <c r="F33" s="5">
        <v>2820.05</v>
      </c>
      <c r="G33" s="6">
        <v>0.4</v>
      </c>
      <c r="H33" s="7">
        <f>IF(F33*G33&gt;0,ROUNDUP(MAX(0,D33-E33)/(F33*G33),0),0)</f>
        <v>32</v>
      </c>
      <c r="I33" s="7">
        <f>ROUNDUP(H33*J33/7,0)</f>
        <v>96</v>
      </c>
      <c r="J33" s="5">
        <v>21</v>
      </c>
      <c r="K33">
        <v>13</v>
      </c>
    </row>
    <row r="34" spans="1:11">
      <c r="A34" t="s">
        <v>32</v>
      </c>
      <c r="B34" t="s">
        <v>74</v>
      </c>
      <c r="C34" t="s">
        <v>75</v>
      </c>
      <c r="D34" s="5">
        <v>200</v>
      </c>
      <c r="E34" s="5">
        <v>50</v>
      </c>
      <c r="F34" s="5">
        <v>15.95</v>
      </c>
      <c r="G34" s="6">
        <v>0.75</v>
      </c>
      <c r="H34" s="7">
        <f>IF(F34*G34&gt;0,ROUNDUP(MAX(0,D34-E34)/(F34*G34),0),0)</f>
        <v>13</v>
      </c>
      <c r="I34" s="7">
        <f>ROUNDUP(H34*J34/7,0)</f>
        <v>39</v>
      </c>
      <c r="J34" s="5">
        <v>21</v>
      </c>
      <c r="K34">
        <v>5</v>
      </c>
    </row>
    <row r="35" spans="1:11">
      <c r="A35" t="s">
        <v>32</v>
      </c>
      <c r="B35" t="s">
        <v>76</v>
      </c>
      <c r="C35" t="s">
        <v>75</v>
      </c>
      <c r="D35" s="5">
        <v>600</v>
      </c>
      <c r="E35" s="5">
        <v>50</v>
      </c>
      <c r="F35" s="5">
        <v>15.95</v>
      </c>
      <c r="G35" s="6">
        <v>0.75</v>
      </c>
      <c r="H35" s="7">
        <f>IF(F35*G35&gt;0,ROUNDUP(MAX(0,D35-E35)/(F35*G35),0),0)</f>
        <v>46</v>
      </c>
      <c r="I35" s="7">
        <f>ROUNDUP(H35*J35/7,0)</f>
        <v>138</v>
      </c>
      <c r="J35" s="5">
        <v>21</v>
      </c>
      <c r="K35">
        <v>22</v>
      </c>
    </row>
    <row r="36" spans="1:11">
      <c r="A36" t="s">
        <v>32</v>
      </c>
      <c r="B36" t="s">
        <v>78</v>
      </c>
      <c r="C36" t="s">
        <v>75</v>
      </c>
      <c r="D36" s="5">
        <v>1700</v>
      </c>
      <c r="E36" s="5">
        <v>50</v>
      </c>
      <c r="F36" s="5">
        <v>15.95</v>
      </c>
      <c r="G36" s="6">
        <v>0.75</v>
      </c>
      <c r="H36" s="7">
        <f>IF(F36*G36&gt;0,ROUNDUP(MAX(0,D36-E36)/(F36*G36),0),0)</f>
        <v>138</v>
      </c>
      <c r="I36" s="7">
        <f>ROUNDUP(H36*J36/7,0)</f>
        <v>414</v>
      </c>
      <c r="J36" s="5">
        <v>21</v>
      </c>
      <c r="K36" t="s">
        <v>77</v>
      </c>
    </row>
    <row r="39" spans="1:11" ht="42" customHeight="1">
      <c r="A39" s="3" t="s">
        <v>79</v>
      </c>
    </row>
  </sheetData>
  <autoFilter ref="A1:K36"/>
  <dataValidations count="2">
    <dataValidation type="decimal" allowBlank="1" showInputMessage="1" showErrorMessage="1" sqref="G2:G36">
      <formula1>0.01</formula1>
      <formula2>1</formula2>
    </dataValidation>
    <dataValidation type="decimal" operator="greaterThan" allowBlank="1" showInputMessage="1" showErrorMessage="1" sqref="F2:F36">
      <formula1>0</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F15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customWidth="1"/>
    <col min="2" max="2" width="29.7109375" customWidth="1"/>
    <col min="3" max="3" width="35.7109375" customWidth="1"/>
    <col min="4" max="5" width="14.7109375" customWidth="1"/>
    <col min="6" max="6" width="19.7109375" customWidth="1"/>
  </cols>
  <sheetData>
    <row r="1" spans="1:6" ht="32" customHeight="1">
      <c r="A1" s="4" t="s">
        <v>80</v>
      </c>
      <c r="B1" s="4" t="s">
        <v>81</v>
      </c>
      <c r="C1" s="4" t="s">
        <v>82</v>
      </c>
      <c r="D1" s="4" t="s">
        <v>38</v>
      </c>
      <c r="E1" s="4" t="s">
        <v>54</v>
      </c>
      <c r="F1" s="4" t="s">
        <v>83</v>
      </c>
    </row>
    <row r="2" spans="1:6">
      <c r="A2" t="s">
        <v>84</v>
      </c>
      <c r="B2" t="s">
        <v>85</v>
      </c>
      <c r="C2" t="s">
        <v>86</v>
      </c>
      <c r="D2">
        <v>400</v>
      </c>
      <c r="E2">
        <v>0</v>
      </c>
      <c r="F2">
        <v>0</v>
      </c>
    </row>
    <row r="3" spans="1:6">
      <c r="A3" t="s">
        <v>84</v>
      </c>
      <c r="B3" t="s">
        <v>87</v>
      </c>
      <c r="C3" t="s">
        <v>88</v>
      </c>
      <c r="D3">
        <v>1200</v>
      </c>
      <c r="E3">
        <v>0</v>
      </c>
      <c r="F3">
        <v>0</v>
      </c>
    </row>
    <row r="4" spans="1:6">
      <c r="A4" t="s">
        <v>84</v>
      </c>
      <c r="B4" t="s">
        <v>89</v>
      </c>
      <c r="C4" t="s">
        <v>90</v>
      </c>
      <c r="D4">
        <v>3000</v>
      </c>
      <c r="E4">
        <v>0</v>
      </c>
      <c r="F4">
        <v>0</v>
      </c>
    </row>
    <row r="5" spans="1:6">
      <c r="A5" t="s">
        <v>84</v>
      </c>
      <c r="B5" t="s">
        <v>91</v>
      </c>
      <c r="C5" t="s">
        <v>92</v>
      </c>
      <c r="D5">
        <v>400</v>
      </c>
      <c r="E5">
        <v>0</v>
      </c>
      <c r="F5">
        <v>0</v>
      </c>
    </row>
    <row r="6" spans="1:6">
      <c r="A6" t="s">
        <v>84</v>
      </c>
      <c r="B6" t="s">
        <v>93</v>
      </c>
      <c r="C6" t="s">
        <v>94</v>
      </c>
      <c r="D6">
        <v>1200</v>
      </c>
      <c r="E6">
        <v>0</v>
      </c>
      <c r="F6">
        <v>0</v>
      </c>
    </row>
    <row r="7" spans="1:6">
      <c r="A7" t="s">
        <v>84</v>
      </c>
      <c r="B7" t="s">
        <v>95</v>
      </c>
      <c r="C7" t="s">
        <v>96</v>
      </c>
      <c r="D7">
        <v>3000</v>
      </c>
      <c r="E7">
        <v>0</v>
      </c>
      <c r="F7">
        <v>0</v>
      </c>
    </row>
    <row r="8" spans="1:6">
      <c r="A8" t="s">
        <v>84</v>
      </c>
      <c r="B8" t="s">
        <v>97</v>
      </c>
      <c r="C8" t="s">
        <v>98</v>
      </c>
      <c r="D8">
        <v>300</v>
      </c>
      <c r="E8">
        <v>0</v>
      </c>
      <c r="F8">
        <v>0</v>
      </c>
    </row>
    <row r="9" spans="1:6">
      <c r="A9" t="s">
        <v>84</v>
      </c>
      <c r="B9" t="s">
        <v>99</v>
      </c>
      <c r="C9" t="s">
        <v>100</v>
      </c>
      <c r="D9">
        <v>900</v>
      </c>
      <c r="E9">
        <v>0</v>
      </c>
      <c r="F9">
        <v>0</v>
      </c>
    </row>
    <row r="10" spans="1:6">
      <c r="A10" t="s">
        <v>84</v>
      </c>
      <c r="B10" t="s">
        <v>101</v>
      </c>
      <c r="C10" t="s">
        <v>102</v>
      </c>
      <c r="D10">
        <v>2200</v>
      </c>
      <c r="E10">
        <v>0</v>
      </c>
      <c r="F10">
        <v>0</v>
      </c>
    </row>
    <row r="11" spans="1:6">
      <c r="A11" t="s">
        <v>84</v>
      </c>
      <c r="B11" t="s">
        <v>103</v>
      </c>
      <c r="C11" t="s">
        <v>104</v>
      </c>
      <c r="D11">
        <v>300</v>
      </c>
      <c r="E11">
        <v>0</v>
      </c>
      <c r="F11">
        <v>0</v>
      </c>
    </row>
    <row r="12" spans="1:6">
      <c r="A12" t="s">
        <v>84</v>
      </c>
      <c r="B12" t="s">
        <v>105</v>
      </c>
      <c r="C12" t="s">
        <v>106</v>
      </c>
      <c r="D12">
        <v>900</v>
      </c>
      <c r="E12">
        <v>0</v>
      </c>
      <c r="F12">
        <v>0</v>
      </c>
    </row>
    <row r="13" spans="1:6">
      <c r="A13" t="s">
        <v>84</v>
      </c>
      <c r="B13" t="s">
        <v>107</v>
      </c>
      <c r="C13" t="s">
        <v>108</v>
      </c>
      <c r="D13">
        <v>2200</v>
      </c>
      <c r="E13">
        <v>0</v>
      </c>
      <c r="F13">
        <v>0</v>
      </c>
    </row>
    <row r="14" spans="1:6">
      <c r="A14" t="s">
        <v>84</v>
      </c>
      <c r="B14" t="s">
        <v>109</v>
      </c>
      <c r="C14" t="s">
        <v>110</v>
      </c>
      <c r="D14">
        <v>500</v>
      </c>
      <c r="E14">
        <v>0</v>
      </c>
      <c r="F14">
        <v>0</v>
      </c>
    </row>
    <row r="15" spans="1:6">
      <c r="A15" t="s">
        <v>84</v>
      </c>
      <c r="B15" t="s">
        <v>111</v>
      </c>
      <c r="C15" t="s">
        <v>112</v>
      </c>
      <c r="D15">
        <v>1500</v>
      </c>
      <c r="E15">
        <v>0</v>
      </c>
      <c r="F15">
        <v>0</v>
      </c>
    </row>
    <row r="16" spans="1:6">
      <c r="A16" t="s">
        <v>84</v>
      </c>
      <c r="B16" t="s">
        <v>113</v>
      </c>
      <c r="C16" t="s">
        <v>114</v>
      </c>
      <c r="D16">
        <v>3500</v>
      </c>
      <c r="E16">
        <v>0</v>
      </c>
      <c r="F16">
        <v>0</v>
      </c>
    </row>
    <row r="17" spans="1:6">
      <c r="A17" t="s">
        <v>84</v>
      </c>
      <c r="B17" t="s">
        <v>115</v>
      </c>
      <c r="C17" t="s">
        <v>116</v>
      </c>
      <c r="D17">
        <v>400</v>
      </c>
      <c r="E17">
        <v>0</v>
      </c>
      <c r="F17">
        <v>0</v>
      </c>
    </row>
    <row r="18" spans="1:6">
      <c r="A18" t="s">
        <v>84</v>
      </c>
      <c r="B18" t="s">
        <v>117</v>
      </c>
      <c r="C18" t="s">
        <v>118</v>
      </c>
      <c r="D18">
        <v>1000</v>
      </c>
      <c r="E18">
        <v>0</v>
      </c>
      <c r="F18">
        <v>0</v>
      </c>
    </row>
    <row r="19" spans="1:6">
      <c r="A19" t="s">
        <v>84</v>
      </c>
      <c r="B19" t="s">
        <v>119</v>
      </c>
      <c r="C19" t="s">
        <v>120</v>
      </c>
      <c r="D19">
        <v>2000</v>
      </c>
      <c r="E19">
        <v>0</v>
      </c>
      <c r="F19">
        <v>0</v>
      </c>
    </row>
    <row r="20" spans="1:6">
      <c r="A20" t="s">
        <v>121</v>
      </c>
      <c r="B20" t="s">
        <v>122</v>
      </c>
      <c r="C20" t="s">
        <v>123</v>
      </c>
      <c r="D20">
        <v>800</v>
      </c>
      <c r="E20">
        <v>0</v>
      </c>
      <c r="F20">
        <v>1</v>
      </c>
    </row>
    <row r="21" spans="1:6">
      <c r="A21" t="s">
        <v>121</v>
      </c>
      <c r="B21" t="s">
        <v>124</v>
      </c>
      <c r="C21" t="s">
        <v>125</v>
      </c>
      <c r="D21">
        <v>3000</v>
      </c>
      <c r="E21">
        <v>0</v>
      </c>
      <c r="F21">
        <v>2</v>
      </c>
    </row>
    <row r="22" spans="1:6">
      <c r="A22" t="s">
        <v>121</v>
      </c>
      <c r="B22" t="s">
        <v>126</v>
      </c>
      <c r="C22" t="s">
        <v>127</v>
      </c>
      <c r="D22">
        <v>1200</v>
      </c>
      <c r="E22">
        <v>0</v>
      </c>
      <c r="F22">
        <v>1</v>
      </c>
    </row>
    <row r="23" spans="1:6">
      <c r="A23" t="s">
        <v>121</v>
      </c>
      <c r="B23" t="s">
        <v>128</v>
      </c>
      <c r="C23" t="s">
        <v>129</v>
      </c>
      <c r="D23">
        <v>1600</v>
      </c>
      <c r="E23">
        <v>0</v>
      </c>
      <c r="F23">
        <v>1</v>
      </c>
    </row>
    <row r="24" spans="1:6">
      <c r="A24" t="s">
        <v>121</v>
      </c>
      <c r="B24" t="s">
        <v>130</v>
      </c>
      <c r="C24" t="s">
        <v>131</v>
      </c>
      <c r="D24">
        <v>1600</v>
      </c>
      <c r="E24">
        <v>0</v>
      </c>
      <c r="F24">
        <v>1</v>
      </c>
    </row>
    <row r="25" spans="1:6">
      <c r="A25" t="s">
        <v>121</v>
      </c>
      <c r="B25" t="s">
        <v>132</v>
      </c>
      <c r="C25" t="s">
        <v>133</v>
      </c>
      <c r="D25">
        <v>3800</v>
      </c>
      <c r="E25">
        <v>0</v>
      </c>
      <c r="F25">
        <v>2</v>
      </c>
    </row>
    <row r="26" spans="1:6">
      <c r="A26" t="s">
        <v>121</v>
      </c>
      <c r="B26" t="s">
        <v>134</v>
      </c>
      <c r="C26" t="s">
        <v>135</v>
      </c>
      <c r="D26">
        <v>3800</v>
      </c>
      <c r="E26">
        <v>0</v>
      </c>
      <c r="F26">
        <v>2</v>
      </c>
    </row>
    <row r="27" spans="1:6">
      <c r="A27" t="s">
        <v>121</v>
      </c>
      <c r="B27" t="s">
        <v>136</v>
      </c>
      <c r="C27" t="s">
        <v>137</v>
      </c>
      <c r="D27">
        <v>9000</v>
      </c>
      <c r="E27">
        <v>0</v>
      </c>
      <c r="F27">
        <v>2</v>
      </c>
    </row>
    <row r="28" spans="1:6">
      <c r="A28" t="s">
        <v>121</v>
      </c>
      <c r="B28" t="s">
        <v>138</v>
      </c>
      <c r="C28" t="s">
        <v>139</v>
      </c>
      <c r="D28">
        <v>1500</v>
      </c>
      <c r="E28">
        <v>0</v>
      </c>
      <c r="F28">
        <v>1</v>
      </c>
    </row>
    <row r="29" spans="1:6">
      <c r="A29" t="s">
        <v>121</v>
      </c>
      <c r="B29" t="s">
        <v>140</v>
      </c>
      <c r="C29" t="s">
        <v>141</v>
      </c>
      <c r="D29">
        <v>2500</v>
      </c>
      <c r="E29">
        <v>0</v>
      </c>
      <c r="F29">
        <v>1</v>
      </c>
    </row>
    <row r="30" spans="1:6">
      <c r="A30" t="s">
        <v>121</v>
      </c>
      <c r="B30" t="s">
        <v>142</v>
      </c>
      <c r="C30" t="s">
        <v>143</v>
      </c>
      <c r="D30">
        <v>1800</v>
      </c>
      <c r="E30">
        <v>0</v>
      </c>
      <c r="F30">
        <v>1</v>
      </c>
    </row>
    <row r="31" spans="1:6">
      <c r="A31" t="s">
        <v>121</v>
      </c>
      <c r="B31" t="s">
        <v>144</v>
      </c>
      <c r="C31" t="s">
        <v>145</v>
      </c>
      <c r="D31">
        <v>2000</v>
      </c>
      <c r="E31">
        <v>0</v>
      </c>
      <c r="F31">
        <v>1</v>
      </c>
    </row>
    <row r="32" spans="1:6">
      <c r="A32" t="s">
        <v>121</v>
      </c>
      <c r="B32" t="s">
        <v>109</v>
      </c>
      <c r="C32" t="s">
        <v>146</v>
      </c>
      <c r="D32">
        <v>3000</v>
      </c>
      <c r="E32">
        <v>0</v>
      </c>
      <c r="F32">
        <v>2</v>
      </c>
    </row>
    <row r="33" spans="1:6">
      <c r="A33" t="s">
        <v>147</v>
      </c>
      <c r="B33" t="s">
        <v>148</v>
      </c>
      <c r="C33" t="s">
        <v>149</v>
      </c>
      <c r="D33">
        <v>300</v>
      </c>
      <c r="E33">
        <v>0</v>
      </c>
      <c r="F33">
        <v>0</v>
      </c>
    </row>
    <row r="34" spans="1:6">
      <c r="A34" t="s">
        <v>147</v>
      </c>
      <c r="B34" t="s">
        <v>150</v>
      </c>
      <c r="C34" t="s">
        <v>151</v>
      </c>
      <c r="D34">
        <v>450</v>
      </c>
      <c r="E34">
        <v>0</v>
      </c>
      <c r="F34">
        <v>0</v>
      </c>
    </row>
    <row r="35" spans="1:6">
      <c r="A35" t="s">
        <v>147</v>
      </c>
      <c r="B35" t="s">
        <v>152</v>
      </c>
      <c r="C35" t="s">
        <v>153</v>
      </c>
      <c r="D35">
        <v>600</v>
      </c>
      <c r="E35">
        <v>0</v>
      </c>
      <c r="F35">
        <v>0</v>
      </c>
    </row>
    <row r="36" spans="1:6">
      <c r="A36" t="s">
        <v>147</v>
      </c>
      <c r="B36" t="s">
        <v>154</v>
      </c>
      <c r="C36" t="s">
        <v>155</v>
      </c>
      <c r="D36">
        <v>800</v>
      </c>
      <c r="E36">
        <v>0</v>
      </c>
      <c r="F36">
        <v>0</v>
      </c>
    </row>
    <row r="37" spans="1:6">
      <c r="A37" t="s">
        <v>147</v>
      </c>
      <c r="B37" t="s">
        <v>156</v>
      </c>
      <c r="C37" t="s">
        <v>157</v>
      </c>
      <c r="D37">
        <v>1200</v>
      </c>
      <c r="E37">
        <v>0</v>
      </c>
      <c r="F37">
        <v>0</v>
      </c>
    </row>
    <row r="38" spans="1:6">
      <c r="A38" t="s">
        <v>147</v>
      </c>
      <c r="B38" t="s">
        <v>158</v>
      </c>
      <c r="C38" t="s">
        <v>159</v>
      </c>
      <c r="D38">
        <v>1800</v>
      </c>
      <c r="E38">
        <v>0</v>
      </c>
      <c r="F38">
        <v>0</v>
      </c>
    </row>
    <row r="39" spans="1:6">
      <c r="A39" t="s">
        <v>160</v>
      </c>
      <c r="B39" t="s">
        <v>161</v>
      </c>
      <c r="C39" t="s">
        <v>162</v>
      </c>
      <c r="D39">
        <v>250</v>
      </c>
      <c r="E39">
        <v>0</v>
      </c>
      <c r="F39">
        <v>0</v>
      </c>
    </row>
    <row r="40" spans="1:6">
      <c r="A40" t="s">
        <v>160</v>
      </c>
      <c r="B40" t="s">
        <v>163</v>
      </c>
      <c r="C40" t="s">
        <v>164</v>
      </c>
      <c r="D40">
        <v>400</v>
      </c>
      <c r="E40">
        <v>0</v>
      </c>
      <c r="F40">
        <v>0</v>
      </c>
    </row>
    <row r="41" spans="1:6">
      <c r="A41" t="s">
        <v>160</v>
      </c>
      <c r="B41" t="s">
        <v>165</v>
      </c>
      <c r="C41" t="s">
        <v>166</v>
      </c>
      <c r="D41">
        <v>450</v>
      </c>
      <c r="E41">
        <v>0</v>
      </c>
      <c r="F41">
        <v>0</v>
      </c>
    </row>
    <row r="42" spans="1:6">
      <c r="A42" t="s">
        <v>160</v>
      </c>
      <c r="B42" t="s">
        <v>167</v>
      </c>
      <c r="C42" t="s">
        <v>168</v>
      </c>
      <c r="D42">
        <v>600</v>
      </c>
      <c r="E42">
        <v>0</v>
      </c>
      <c r="F42">
        <v>0</v>
      </c>
    </row>
    <row r="43" spans="1:6">
      <c r="A43" t="s">
        <v>160</v>
      </c>
      <c r="B43" t="s">
        <v>169</v>
      </c>
      <c r="C43" t="s">
        <v>170</v>
      </c>
      <c r="D43">
        <v>700</v>
      </c>
      <c r="E43">
        <v>0</v>
      </c>
      <c r="F43">
        <v>0</v>
      </c>
    </row>
    <row r="44" spans="1:6">
      <c r="A44" t="s">
        <v>160</v>
      </c>
      <c r="B44" t="s">
        <v>171</v>
      </c>
      <c r="C44" t="s">
        <v>172</v>
      </c>
      <c r="D44">
        <v>800</v>
      </c>
      <c r="E44">
        <v>0</v>
      </c>
      <c r="F44">
        <v>0</v>
      </c>
    </row>
    <row r="45" spans="1:6">
      <c r="A45" t="s">
        <v>160</v>
      </c>
      <c r="B45" t="s">
        <v>173</v>
      </c>
      <c r="C45" t="s">
        <v>174</v>
      </c>
      <c r="D45">
        <v>900</v>
      </c>
      <c r="E45">
        <v>0</v>
      </c>
      <c r="F45">
        <v>0</v>
      </c>
    </row>
    <row r="46" spans="1:6">
      <c r="A46" t="s">
        <v>160</v>
      </c>
      <c r="B46" t="s">
        <v>175</v>
      </c>
      <c r="C46" t="s">
        <v>176</v>
      </c>
      <c r="D46">
        <v>1000</v>
      </c>
      <c r="E46">
        <v>0</v>
      </c>
      <c r="F46">
        <v>0</v>
      </c>
    </row>
    <row r="47" spans="1:6">
      <c r="A47" t="s">
        <v>160</v>
      </c>
      <c r="B47" t="s">
        <v>177</v>
      </c>
      <c r="C47" t="s">
        <v>178</v>
      </c>
      <c r="D47">
        <v>1200</v>
      </c>
      <c r="E47">
        <v>0</v>
      </c>
      <c r="F47">
        <v>0</v>
      </c>
    </row>
    <row r="48" spans="1:6">
      <c r="A48" t="s">
        <v>160</v>
      </c>
      <c r="B48" t="s">
        <v>179</v>
      </c>
      <c r="C48" t="s">
        <v>180</v>
      </c>
      <c r="D48">
        <v>1800</v>
      </c>
      <c r="E48">
        <v>0</v>
      </c>
      <c r="F48">
        <v>0</v>
      </c>
    </row>
    <row r="49" spans="1:6">
      <c r="A49" t="s">
        <v>160</v>
      </c>
      <c r="B49" t="s">
        <v>181</v>
      </c>
      <c r="C49" t="s">
        <v>182</v>
      </c>
      <c r="D49">
        <v>2500</v>
      </c>
      <c r="E49">
        <v>0</v>
      </c>
      <c r="F49">
        <v>0</v>
      </c>
    </row>
    <row r="50" spans="1:6">
      <c r="A50" t="s">
        <v>160</v>
      </c>
      <c r="B50" t="s">
        <v>183</v>
      </c>
      <c r="C50" t="s">
        <v>184</v>
      </c>
      <c r="D50">
        <v>4500</v>
      </c>
      <c r="E50">
        <v>0</v>
      </c>
      <c r="F50">
        <v>0</v>
      </c>
    </row>
    <row r="51" spans="1:6">
      <c r="A51" t="s">
        <v>160</v>
      </c>
      <c r="B51" t="s">
        <v>185</v>
      </c>
      <c r="C51" t="s">
        <v>186</v>
      </c>
      <c r="D51">
        <v>7500</v>
      </c>
      <c r="E51">
        <v>0</v>
      </c>
      <c r="F51">
        <v>0</v>
      </c>
    </row>
    <row r="52" spans="1:6">
      <c r="A52" t="s">
        <v>187</v>
      </c>
      <c r="B52" t="s">
        <v>188</v>
      </c>
      <c r="C52" t="s">
        <v>189</v>
      </c>
      <c r="D52">
        <v>300</v>
      </c>
      <c r="E52">
        <v>0</v>
      </c>
      <c r="F52">
        <v>0</v>
      </c>
    </row>
    <row r="53" spans="1:6">
      <c r="A53" t="s">
        <v>187</v>
      </c>
      <c r="B53" t="s">
        <v>190</v>
      </c>
      <c r="C53" t="s">
        <v>191</v>
      </c>
      <c r="D53">
        <v>350</v>
      </c>
      <c r="E53">
        <v>0</v>
      </c>
      <c r="F53">
        <v>0</v>
      </c>
    </row>
    <row r="54" spans="1:6">
      <c r="A54" t="s">
        <v>187</v>
      </c>
      <c r="B54" t="s">
        <v>192</v>
      </c>
      <c r="C54" t="s">
        <v>193</v>
      </c>
      <c r="D54">
        <v>450</v>
      </c>
      <c r="E54">
        <v>0</v>
      </c>
      <c r="F54">
        <v>0</v>
      </c>
    </row>
    <row r="55" spans="1:6">
      <c r="A55" t="s">
        <v>187</v>
      </c>
      <c r="B55" t="s">
        <v>194</v>
      </c>
      <c r="C55" t="s">
        <v>195</v>
      </c>
      <c r="D55">
        <v>600</v>
      </c>
      <c r="E55">
        <v>0</v>
      </c>
      <c r="F55">
        <v>0</v>
      </c>
    </row>
    <row r="56" spans="1:6">
      <c r="A56" t="s">
        <v>187</v>
      </c>
      <c r="B56" t="s">
        <v>196</v>
      </c>
      <c r="C56" t="s">
        <v>197</v>
      </c>
      <c r="D56">
        <v>700</v>
      </c>
      <c r="E56">
        <v>0</v>
      </c>
      <c r="F56">
        <v>0</v>
      </c>
    </row>
    <row r="57" spans="1:6">
      <c r="A57" t="s">
        <v>187</v>
      </c>
      <c r="B57" t="s">
        <v>198</v>
      </c>
      <c r="C57" t="s">
        <v>199</v>
      </c>
      <c r="D57">
        <v>800</v>
      </c>
      <c r="E57">
        <v>0</v>
      </c>
      <c r="F57">
        <v>0</v>
      </c>
    </row>
    <row r="58" spans="1:6">
      <c r="A58" t="s">
        <v>187</v>
      </c>
      <c r="B58" t="s">
        <v>200</v>
      </c>
      <c r="C58" t="s">
        <v>201</v>
      </c>
      <c r="D58">
        <v>900</v>
      </c>
      <c r="E58">
        <v>0</v>
      </c>
      <c r="F58">
        <v>0</v>
      </c>
    </row>
    <row r="59" spans="1:6">
      <c r="A59" t="s">
        <v>187</v>
      </c>
      <c r="B59" t="s">
        <v>202</v>
      </c>
      <c r="C59" t="s">
        <v>203</v>
      </c>
      <c r="D59">
        <v>1200</v>
      </c>
      <c r="E59">
        <v>0</v>
      </c>
      <c r="F59">
        <v>0</v>
      </c>
    </row>
    <row r="60" spans="1:6">
      <c r="A60" t="s">
        <v>187</v>
      </c>
      <c r="B60" t="s">
        <v>204</v>
      </c>
      <c r="C60" t="s">
        <v>205</v>
      </c>
      <c r="D60">
        <v>1400</v>
      </c>
      <c r="E60">
        <v>0</v>
      </c>
      <c r="F60">
        <v>0</v>
      </c>
    </row>
    <row r="61" spans="1:6">
      <c r="A61" t="s">
        <v>187</v>
      </c>
      <c r="B61" t="s">
        <v>206</v>
      </c>
      <c r="C61" t="s">
        <v>207</v>
      </c>
      <c r="D61">
        <v>1800</v>
      </c>
      <c r="E61">
        <v>0</v>
      </c>
      <c r="F61">
        <v>0</v>
      </c>
    </row>
    <row r="62" spans="1:6">
      <c r="A62" t="s">
        <v>187</v>
      </c>
      <c r="B62" t="s">
        <v>208</v>
      </c>
      <c r="C62" t="s">
        <v>209</v>
      </c>
      <c r="D62">
        <v>2200</v>
      </c>
      <c r="E62">
        <v>0</v>
      </c>
      <c r="F62">
        <v>0</v>
      </c>
    </row>
    <row r="63" spans="1:6">
      <c r="A63" t="s">
        <v>187</v>
      </c>
      <c r="B63" t="s">
        <v>210</v>
      </c>
      <c r="C63" t="s">
        <v>211</v>
      </c>
      <c r="D63">
        <v>2500</v>
      </c>
      <c r="E63">
        <v>0</v>
      </c>
      <c r="F63">
        <v>0</v>
      </c>
    </row>
    <row r="64" spans="1:6">
      <c r="A64" t="s">
        <v>187</v>
      </c>
      <c r="B64" t="s">
        <v>212</v>
      </c>
      <c r="C64" t="s">
        <v>213</v>
      </c>
      <c r="D64">
        <v>2800</v>
      </c>
      <c r="E64">
        <v>0</v>
      </c>
      <c r="F64">
        <v>0</v>
      </c>
    </row>
    <row r="65" spans="1:6">
      <c r="A65" t="s">
        <v>187</v>
      </c>
      <c r="B65" t="s">
        <v>214</v>
      </c>
      <c r="C65" t="s">
        <v>215</v>
      </c>
      <c r="D65">
        <v>4500</v>
      </c>
      <c r="E65">
        <v>0</v>
      </c>
      <c r="F65">
        <v>0</v>
      </c>
    </row>
    <row r="66" spans="1:6">
      <c r="A66" t="s">
        <v>187</v>
      </c>
      <c r="B66" t="s">
        <v>216</v>
      </c>
      <c r="C66" t="s">
        <v>217</v>
      </c>
      <c r="D66">
        <v>5000</v>
      </c>
      <c r="E66">
        <v>0</v>
      </c>
      <c r="F66">
        <v>0</v>
      </c>
    </row>
    <row r="67" spans="1:6">
      <c r="A67" t="s">
        <v>187</v>
      </c>
      <c r="B67" t="s">
        <v>218</v>
      </c>
      <c r="C67" t="s">
        <v>219</v>
      </c>
      <c r="D67">
        <v>6000</v>
      </c>
      <c r="E67">
        <v>0</v>
      </c>
      <c r="F67">
        <v>0</v>
      </c>
    </row>
    <row r="68" spans="1:6">
      <c r="A68" t="s">
        <v>187</v>
      </c>
      <c r="B68" t="s">
        <v>220</v>
      </c>
      <c r="C68" t="s">
        <v>221</v>
      </c>
      <c r="D68">
        <v>7500</v>
      </c>
      <c r="E68">
        <v>0</v>
      </c>
      <c r="F68">
        <v>0</v>
      </c>
    </row>
    <row r="69" spans="1:6">
      <c r="A69" t="s">
        <v>222</v>
      </c>
      <c r="B69" t="s">
        <v>223</v>
      </c>
      <c r="C69" t="s">
        <v>224</v>
      </c>
      <c r="D69">
        <v>300</v>
      </c>
      <c r="E69">
        <v>0</v>
      </c>
      <c r="F69">
        <v>0</v>
      </c>
    </row>
    <row r="70" spans="1:6">
      <c r="A70" t="s">
        <v>222</v>
      </c>
      <c r="B70" t="s">
        <v>225</v>
      </c>
      <c r="C70" t="s">
        <v>226</v>
      </c>
      <c r="D70">
        <v>350</v>
      </c>
      <c r="E70">
        <v>0</v>
      </c>
      <c r="F70">
        <v>0</v>
      </c>
    </row>
    <row r="71" spans="1:6">
      <c r="A71" t="s">
        <v>222</v>
      </c>
      <c r="B71" t="s">
        <v>227</v>
      </c>
      <c r="C71" t="s">
        <v>228</v>
      </c>
      <c r="D71">
        <v>400</v>
      </c>
      <c r="E71">
        <v>0</v>
      </c>
      <c r="F71">
        <v>0</v>
      </c>
    </row>
    <row r="72" spans="1:6">
      <c r="A72" t="s">
        <v>222</v>
      </c>
      <c r="B72" t="s">
        <v>229</v>
      </c>
      <c r="C72" t="s">
        <v>195</v>
      </c>
      <c r="D72">
        <v>450</v>
      </c>
      <c r="E72">
        <v>0</v>
      </c>
      <c r="F72">
        <v>0</v>
      </c>
    </row>
    <row r="73" spans="1:6">
      <c r="A73" t="s">
        <v>222</v>
      </c>
      <c r="B73" t="s">
        <v>230</v>
      </c>
      <c r="C73" t="s">
        <v>231</v>
      </c>
      <c r="D73">
        <v>600</v>
      </c>
      <c r="E73">
        <v>0</v>
      </c>
      <c r="F73">
        <v>0</v>
      </c>
    </row>
    <row r="74" spans="1:6">
      <c r="A74" t="s">
        <v>222</v>
      </c>
      <c r="B74" t="s">
        <v>232</v>
      </c>
      <c r="C74" t="s">
        <v>233</v>
      </c>
      <c r="D74">
        <v>650</v>
      </c>
      <c r="E74">
        <v>0</v>
      </c>
      <c r="F74">
        <v>0</v>
      </c>
    </row>
    <row r="75" spans="1:6">
      <c r="A75" t="s">
        <v>222</v>
      </c>
      <c r="B75" t="s">
        <v>234</v>
      </c>
      <c r="C75" t="s">
        <v>235</v>
      </c>
      <c r="D75">
        <v>750</v>
      </c>
      <c r="E75">
        <v>0</v>
      </c>
      <c r="F75">
        <v>0</v>
      </c>
    </row>
    <row r="76" spans="1:6">
      <c r="A76" t="s">
        <v>222</v>
      </c>
      <c r="B76" t="s">
        <v>236</v>
      </c>
      <c r="C76" t="s">
        <v>237</v>
      </c>
      <c r="D76">
        <v>900</v>
      </c>
      <c r="E76">
        <v>0</v>
      </c>
      <c r="F76">
        <v>0</v>
      </c>
    </row>
    <row r="77" spans="1:6">
      <c r="A77" t="s">
        <v>222</v>
      </c>
      <c r="B77" t="s">
        <v>238</v>
      </c>
      <c r="C77" t="s">
        <v>239</v>
      </c>
      <c r="D77">
        <v>1200</v>
      </c>
      <c r="E77">
        <v>0</v>
      </c>
      <c r="F77">
        <v>0</v>
      </c>
    </row>
    <row r="78" spans="1:6">
      <c r="A78" t="s">
        <v>222</v>
      </c>
      <c r="B78" t="s">
        <v>240</v>
      </c>
      <c r="C78" t="s">
        <v>241</v>
      </c>
      <c r="D78">
        <v>1500</v>
      </c>
      <c r="E78">
        <v>0</v>
      </c>
      <c r="F78">
        <v>0</v>
      </c>
    </row>
    <row r="79" spans="1:6">
      <c r="A79" t="s">
        <v>222</v>
      </c>
      <c r="B79" t="s">
        <v>242</v>
      </c>
      <c r="C79" t="s">
        <v>243</v>
      </c>
      <c r="D79">
        <v>2000</v>
      </c>
      <c r="E79">
        <v>0</v>
      </c>
      <c r="F79">
        <v>0</v>
      </c>
    </row>
    <row r="80" spans="1:6">
      <c r="A80" t="s">
        <v>222</v>
      </c>
      <c r="B80" t="s">
        <v>244</v>
      </c>
      <c r="C80" t="s">
        <v>245</v>
      </c>
      <c r="D80">
        <v>4500</v>
      </c>
      <c r="E80">
        <v>0</v>
      </c>
      <c r="F80">
        <v>0</v>
      </c>
    </row>
    <row r="81" spans="1:6">
      <c r="A81" t="s">
        <v>222</v>
      </c>
      <c r="B81" t="s">
        <v>246</v>
      </c>
      <c r="C81" t="s">
        <v>247</v>
      </c>
      <c r="D81">
        <v>6000</v>
      </c>
      <c r="E81">
        <v>0</v>
      </c>
      <c r="F81">
        <v>0</v>
      </c>
    </row>
    <row r="82" spans="1:6">
      <c r="A82" t="s">
        <v>248</v>
      </c>
      <c r="B82" t="s">
        <v>249</v>
      </c>
      <c r="C82" t="s">
        <v>250</v>
      </c>
      <c r="D82">
        <v>300</v>
      </c>
      <c r="E82">
        <v>0</v>
      </c>
      <c r="F82">
        <v>0</v>
      </c>
    </row>
    <row r="83" spans="1:6">
      <c r="A83" t="s">
        <v>248</v>
      </c>
      <c r="B83" t="s">
        <v>251</v>
      </c>
      <c r="C83" t="s">
        <v>252</v>
      </c>
      <c r="D83">
        <v>400</v>
      </c>
      <c r="E83">
        <v>0</v>
      </c>
      <c r="F83">
        <v>0</v>
      </c>
    </row>
    <row r="84" spans="1:6">
      <c r="A84" t="s">
        <v>248</v>
      </c>
      <c r="B84" t="s">
        <v>253</v>
      </c>
      <c r="C84" t="s">
        <v>254</v>
      </c>
      <c r="D84">
        <v>600</v>
      </c>
      <c r="E84">
        <v>0</v>
      </c>
      <c r="F84">
        <v>0</v>
      </c>
    </row>
    <row r="85" spans="1:6">
      <c r="A85" t="s">
        <v>248</v>
      </c>
      <c r="B85" t="s">
        <v>255</v>
      </c>
      <c r="C85" t="s">
        <v>256</v>
      </c>
      <c r="D85">
        <v>700</v>
      </c>
      <c r="E85">
        <v>0</v>
      </c>
      <c r="F85">
        <v>0</v>
      </c>
    </row>
    <row r="86" spans="1:6">
      <c r="A86" t="s">
        <v>248</v>
      </c>
      <c r="B86" t="s">
        <v>257</v>
      </c>
      <c r="C86" t="s">
        <v>258</v>
      </c>
      <c r="D86">
        <v>850</v>
      </c>
      <c r="E86">
        <v>0</v>
      </c>
      <c r="F86">
        <v>0</v>
      </c>
    </row>
    <row r="87" spans="1:6">
      <c r="A87" t="s">
        <v>248</v>
      </c>
      <c r="B87" t="s">
        <v>259</v>
      </c>
      <c r="C87" t="s">
        <v>260</v>
      </c>
      <c r="D87">
        <v>1100</v>
      </c>
      <c r="E87">
        <v>0</v>
      </c>
      <c r="F87">
        <v>0</v>
      </c>
    </row>
    <row r="88" spans="1:6">
      <c r="A88" t="s">
        <v>248</v>
      </c>
      <c r="B88" t="s">
        <v>261</v>
      </c>
      <c r="C88" t="s">
        <v>262</v>
      </c>
      <c r="D88">
        <v>1300</v>
      </c>
      <c r="E88">
        <v>0</v>
      </c>
      <c r="F88">
        <v>0</v>
      </c>
    </row>
    <row r="89" spans="1:6">
      <c r="A89" t="s">
        <v>248</v>
      </c>
      <c r="B89" t="s">
        <v>263</v>
      </c>
      <c r="C89" t="s">
        <v>203</v>
      </c>
      <c r="D89">
        <v>1600</v>
      </c>
      <c r="E89">
        <v>0</v>
      </c>
      <c r="F89">
        <v>0</v>
      </c>
    </row>
    <row r="90" spans="1:6">
      <c r="A90" t="s">
        <v>248</v>
      </c>
      <c r="B90" t="s">
        <v>264</v>
      </c>
      <c r="C90" t="s">
        <v>265</v>
      </c>
      <c r="D90">
        <v>1900</v>
      </c>
      <c r="E90">
        <v>0</v>
      </c>
      <c r="F90">
        <v>0</v>
      </c>
    </row>
    <row r="91" spans="1:6">
      <c r="A91" t="s">
        <v>248</v>
      </c>
      <c r="B91" t="s">
        <v>266</v>
      </c>
      <c r="C91" t="s">
        <v>267</v>
      </c>
      <c r="D91">
        <v>2200</v>
      </c>
      <c r="E91">
        <v>0</v>
      </c>
      <c r="F91">
        <v>0</v>
      </c>
    </row>
    <row r="92" spans="1:6">
      <c r="A92" t="s">
        <v>248</v>
      </c>
      <c r="B92" t="s">
        <v>268</v>
      </c>
      <c r="C92" t="s">
        <v>269</v>
      </c>
      <c r="D92">
        <v>2600</v>
      </c>
      <c r="E92">
        <v>0</v>
      </c>
      <c r="F92">
        <v>0</v>
      </c>
    </row>
    <row r="93" spans="1:6">
      <c r="A93" t="s">
        <v>248</v>
      </c>
      <c r="B93" t="s">
        <v>270</v>
      </c>
      <c r="C93" t="s">
        <v>271</v>
      </c>
      <c r="D93">
        <v>4500</v>
      </c>
      <c r="E93">
        <v>0</v>
      </c>
      <c r="F93">
        <v>0</v>
      </c>
    </row>
    <row r="94" spans="1:6">
      <c r="A94" t="s">
        <v>248</v>
      </c>
      <c r="B94" t="s">
        <v>272</v>
      </c>
      <c r="C94" t="s">
        <v>273</v>
      </c>
      <c r="D94">
        <v>5000</v>
      </c>
      <c r="E94">
        <v>0</v>
      </c>
      <c r="F94">
        <v>0</v>
      </c>
    </row>
    <row r="95" spans="1:6">
      <c r="A95" t="s">
        <v>248</v>
      </c>
      <c r="B95" t="s">
        <v>274</v>
      </c>
      <c r="C95" t="s">
        <v>275</v>
      </c>
      <c r="D95">
        <v>6000</v>
      </c>
      <c r="E95">
        <v>0</v>
      </c>
      <c r="F95">
        <v>0</v>
      </c>
    </row>
    <row r="96" spans="1:6">
      <c r="A96" t="s">
        <v>248</v>
      </c>
      <c r="B96" t="s">
        <v>276</v>
      </c>
      <c r="C96" t="s">
        <v>277</v>
      </c>
      <c r="D96">
        <v>7500</v>
      </c>
      <c r="E96">
        <v>0</v>
      </c>
      <c r="F96">
        <v>0</v>
      </c>
    </row>
    <row r="97" spans="1:6">
      <c r="A97" t="s">
        <v>278</v>
      </c>
      <c r="B97" t="s">
        <v>279</v>
      </c>
      <c r="C97" t="s">
        <v>280</v>
      </c>
      <c r="D97">
        <v>350</v>
      </c>
      <c r="E97">
        <v>0</v>
      </c>
      <c r="F97">
        <v>0</v>
      </c>
    </row>
    <row r="98" spans="1:6">
      <c r="A98" t="s">
        <v>278</v>
      </c>
      <c r="B98" t="s">
        <v>281</v>
      </c>
      <c r="C98" t="s">
        <v>282</v>
      </c>
      <c r="D98">
        <v>450</v>
      </c>
      <c r="E98">
        <v>0</v>
      </c>
      <c r="F98">
        <v>0</v>
      </c>
    </row>
    <row r="99" spans="1:6">
      <c r="A99" t="s">
        <v>278</v>
      </c>
      <c r="B99" t="s">
        <v>283</v>
      </c>
      <c r="C99" t="s">
        <v>284</v>
      </c>
      <c r="D99">
        <v>600</v>
      </c>
      <c r="E99">
        <v>0</v>
      </c>
      <c r="F99">
        <v>0</v>
      </c>
    </row>
    <row r="100" spans="1:6">
      <c r="A100" t="s">
        <v>278</v>
      </c>
      <c r="B100" t="s">
        <v>285</v>
      </c>
      <c r="C100" t="s">
        <v>286</v>
      </c>
      <c r="D100">
        <v>750</v>
      </c>
      <c r="E100">
        <v>0</v>
      </c>
      <c r="F100">
        <v>0</v>
      </c>
    </row>
    <row r="101" spans="1:6">
      <c r="A101" t="s">
        <v>278</v>
      </c>
      <c r="B101" t="s">
        <v>287</v>
      </c>
      <c r="C101" t="s">
        <v>288</v>
      </c>
      <c r="D101">
        <v>1600</v>
      </c>
      <c r="E101">
        <v>0</v>
      </c>
      <c r="F101">
        <v>0</v>
      </c>
    </row>
    <row r="102" spans="1:6">
      <c r="A102" t="s">
        <v>278</v>
      </c>
      <c r="B102" t="s">
        <v>289</v>
      </c>
      <c r="C102" t="s">
        <v>290</v>
      </c>
      <c r="D102">
        <v>2600</v>
      </c>
      <c r="E102">
        <v>0</v>
      </c>
      <c r="F102">
        <v>0</v>
      </c>
    </row>
    <row r="103" spans="1:6">
      <c r="A103" t="s">
        <v>278</v>
      </c>
      <c r="B103" t="s">
        <v>291</v>
      </c>
      <c r="C103" t="s">
        <v>292</v>
      </c>
      <c r="D103">
        <v>300</v>
      </c>
      <c r="E103">
        <v>0</v>
      </c>
      <c r="F103">
        <v>0</v>
      </c>
    </row>
    <row r="104" spans="1:6">
      <c r="A104" t="s">
        <v>278</v>
      </c>
      <c r="B104" t="s">
        <v>293</v>
      </c>
      <c r="C104" t="s">
        <v>294</v>
      </c>
      <c r="D104">
        <v>400</v>
      </c>
      <c r="E104">
        <v>0</v>
      </c>
      <c r="F104">
        <v>0</v>
      </c>
    </row>
    <row r="105" spans="1:6">
      <c r="A105" t="s">
        <v>278</v>
      </c>
      <c r="B105" t="s">
        <v>295</v>
      </c>
      <c r="C105" t="s">
        <v>296</v>
      </c>
      <c r="D105">
        <v>2000</v>
      </c>
      <c r="E105">
        <v>0</v>
      </c>
      <c r="F105">
        <v>0</v>
      </c>
    </row>
    <row r="106" spans="1:6">
      <c r="A106" t="s">
        <v>278</v>
      </c>
      <c r="B106" t="s">
        <v>297</v>
      </c>
      <c r="C106" t="s">
        <v>298</v>
      </c>
      <c r="D106">
        <v>2400</v>
      </c>
      <c r="E106">
        <v>0</v>
      </c>
      <c r="F106">
        <v>0</v>
      </c>
    </row>
    <row r="107" spans="1:6">
      <c r="A107" t="s">
        <v>278</v>
      </c>
      <c r="B107" t="s">
        <v>299</v>
      </c>
      <c r="C107" t="s">
        <v>300</v>
      </c>
      <c r="D107">
        <v>6000</v>
      </c>
      <c r="E107">
        <v>0</v>
      </c>
      <c r="F107">
        <v>0</v>
      </c>
    </row>
    <row r="108" spans="1:6">
      <c r="A108" t="s">
        <v>278</v>
      </c>
      <c r="B108" t="s">
        <v>301</v>
      </c>
      <c r="C108" t="s">
        <v>302</v>
      </c>
      <c r="D108">
        <v>250</v>
      </c>
      <c r="E108">
        <v>0</v>
      </c>
      <c r="F108">
        <v>0</v>
      </c>
    </row>
    <row r="109" spans="1:6">
      <c r="A109" t="s">
        <v>278</v>
      </c>
      <c r="B109" t="s">
        <v>303</v>
      </c>
      <c r="C109" t="s">
        <v>304</v>
      </c>
      <c r="D109">
        <v>650</v>
      </c>
      <c r="E109">
        <v>0</v>
      </c>
      <c r="F109">
        <v>0</v>
      </c>
    </row>
    <row r="110" spans="1:6">
      <c r="A110" t="s">
        <v>278</v>
      </c>
      <c r="B110" t="s">
        <v>305</v>
      </c>
      <c r="C110" t="s">
        <v>306</v>
      </c>
      <c r="D110">
        <v>1400</v>
      </c>
      <c r="E110">
        <v>0</v>
      </c>
      <c r="F110">
        <v>0</v>
      </c>
    </row>
    <row r="111" spans="1:6">
      <c r="A111" t="s">
        <v>278</v>
      </c>
      <c r="B111" t="s">
        <v>307</v>
      </c>
      <c r="C111" t="s">
        <v>308</v>
      </c>
      <c r="D111">
        <v>500</v>
      </c>
      <c r="E111">
        <v>0</v>
      </c>
      <c r="F111">
        <v>0</v>
      </c>
    </row>
    <row r="112" spans="1:6">
      <c r="A112" t="s">
        <v>278</v>
      </c>
      <c r="B112" t="s">
        <v>309</v>
      </c>
      <c r="C112" t="s">
        <v>310</v>
      </c>
      <c r="D112">
        <v>2400</v>
      </c>
      <c r="E112">
        <v>0</v>
      </c>
      <c r="F112">
        <v>0</v>
      </c>
    </row>
    <row r="113" spans="1:6">
      <c r="A113" t="s">
        <v>278</v>
      </c>
      <c r="B113" t="s">
        <v>311</v>
      </c>
      <c r="C113" t="s">
        <v>312</v>
      </c>
      <c r="D113">
        <v>4800</v>
      </c>
      <c r="E113">
        <v>0</v>
      </c>
      <c r="F113">
        <v>0</v>
      </c>
    </row>
    <row r="114" spans="1:6">
      <c r="A114" t="s">
        <v>278</v>
      </c>
      <c r="B114" t="s">
        <v>313</v>
      </c>
      <c r="C114" t="s">
        <v>314</v>
      </c>
      <c r="D114">
        <v>300</v>
      </c>
      <c r="E114">
        <v>0</v>
      </c>
      <c r="F114">
        <v>0</v>
      </c>
    </row>
    <row r="115" spans="1:6">
      <c r="A115" t="s">
        <v>278</v>
      </c>
      <c r="B115" t="s">
        <v>315</v>
      </c>
      <c r="C115" t="s">
        <v>316</v>
      </c>
      <c r="D115">
        <v>800</v>
      </c>
      <c r="E115">
        <v>0</v>
      </c>
      <c r="F115">
        <v>0</v>
      </c>
    </row>
    <row r="116" spans="1:6">
      <c r="A116" t="s">
        <v>278</v>
      </c>
      <c r="B116" t="s">
        <v>317</v>
      </c>
      <c r="C116" t="s">
        <v>318</v>
      </c>
      <c r="D116">
        <v>1800</v>
      </c>
      <c r="E116">
        <v>0</v>
      </c>
      <c r="F116">
        <v>0</v>
      </c>
    </row>
    <row r="117" spans="1:6">
      <c r="A117" t="s">
        <v>278</v>
      </c>
      <c r="B117" t="s">
        <v>319</v>
      </c>
      <c r="C117" t="s">
        <v>320</v>
      </c>
      <c r="D117">
        <v>500</v>
      </c>
      <c r="E117">
        <v>0</v>
      </c>
      <c r="F117">
        <v>0</v>
      </c>
    </row>
    <row r="118" spans="1:6">
      <c r="A118" t="s">
        <v>278</v>
      </c>
      <c r="B118" t="s">
        <v>321</v>
      </c>
      <c r="C118" t="s">
        <v>322</v>
      </c>
      <c r="D118">
        <v>900</v>
      </c>
      <c r="E118">
        <v>0</v>
      </c>
      <c r="F118">
        <v>0</v>
      </c>
    </row>
    <row r="119" spans="1:6">
      <c r="A119" t="s">
        <v>278</v>
      </c>
      <c r="B119" t="s">
        <v>323</v>
      </c>
      <c r="C119" t="s">
        <v>324</v>
      </c>
      <c r="D119">
        <v>1500</v>
      </c>
      <c r="E119">
        <v>0</v>
      </c>
      <c r="F119">
        <v>0</v>
      </c>
    </row>
    <row r="120" spans="1:6">
      <c r="A120" t="s">
        <v>325</v>
      </c>
      <c r="B120" t="s">
        <v>326</v>
      </c>
      <c r="C120" t="s">
        <v>327</v>
      </c>
      <c r="D120">
        <v>300</v>
      </c>
      <c r="E120">
        <v>0</v>
      </c>
      <c r="F120">
        <v>0</v>
      </c>
    </row>
    <row r="121" spans="1:6">
      <c r="A121" t="s">
        <v>325</v>
      </c>
      <c r="B121" t="s">
        <v>328</v>
      </c>
      <c r="C121" t="s">
        <v>329</v>
      </c>
      <c r="D121">
        <v>450</v>
      </c>
      <c r="E121">
        <v>0</v>
      </c>
      <c r="F121">
        <v>0</v>
      </c>
    </row>
    <row r="122" spans="1:6">
      <c r="A122" t="s">
        <v>325</v>
      </c>
      <c r="B122" t="s">
        <v>330</v>
      </c>
      <c r="C122" t="s">
        <v>331</v>
      </c>
      <c r="D122">
        <v>800</v>
      </c>
      <c r="E122">
        <v>0</v>
      </c>
      <c r="F122">
        <v>0</v>
      </c>
    </row>
    <row r="123" spans="1:6">
      <c r="A123" t="s">
        <v>325</v>
      </c>
      <c r="B123" t="s">
        <v>332</v>
      </c>
      <c r="C123" t="s">
        <v>333</v>
      </c>
      <c r="D123">
        <v>1500</v>
      </c>
      <c r="E123">
        <v>0</v>
      </c>
      <c r="F123">
        <v>0</v>
      </c>
    </row>
    <row r="124" spans="1:6">
      <c r="A124" t="s">
        <v>325</v>
      </c>
      <c r="B124" t="s">
        <v>334</v>
      </c>
      <c r="C124" t="s">
        <v>335</v>
      </c>
      <c r="D124">
        <v>300</v>
      </c>
      <c r="E124">
        <v>0</v>
      </c>
      <c r="F124">
        <v>0</v>
      </c>
    </row>
    <row r="125" spans="1:6">
      <c r="A125" t="s">
        <v>325</v>
      </c>
      <c r="B125" t="s">
        <v>336</v>
      </c>
      <c r="C125" t="s">
        <v>337</v>
      </c>
      <c r="D125">
        <v>600</v>
      </c>
      <c r="E125">
        <v>0</v>
      </c>
      <c r="F125">
        <v>0</v>
      </c>
    </row>
    <row r="126" spans="1:6">
      <c r="A126" t="s">
        <v>325</v>
      </c>
      <c r="B126" t="s">
        <v>338</v>
      </c>
      <c r="C126" t="s">
        <v>339</v>
      </c>
      <c r="D126">
        <v>900</v>
      </c>
      <c r="E126">
        <v>0</v>
      </c>
      <c r="F126">
        <v>0</v>
      </c>
    </row>
    <row r="127" spans="1:6">
      <c r="A127" t="s">
        <v>325</v>
      </c>
      <c r="B127" t="s">
        <v>340</v>
      </c>
      <c r="C127" t="s">
        <v>341</v>
      </c>
      <c r="D127">
        <v>2000</v>
      </c>
      <c r="E127">
        <v>0</v>
      </c>
      <c r="F127">
        <v>0</v>
      </c>
    </row>
    <row r="128" spans="1:6">
      <c r="A128" t="s">
        <v>325</v>
      </c>
      <c r="B128" t="s">
        <v>342</v>
      </c>
      <c r="C128" t="s">
        <v>343</v>
      </c>
      <c r="D128">
        <v>250</v>
      </c>
      <c r="E128">
        <v>0</v>
      </c>
      <c r="F128">
        <v>0</v>
      </c>
    </row>
    <row r="129" spans="1:6">
      <c r="A129" t="s">
        <v>325</v>
      </c>
      <c r="B129" t="s">
        <v>344</v>
      </c>
      <c r="C129" t="s">
        <v>345</v>
      </c>
      <c r="D129">
        <v>400</v>
      </c>
      <c r="E129">
        <v>0</v>
      </c>
      <c r="F129">
        <v>0</v>
      </c>
    </row>
    <row r="130" spans="1:6">
      <c r="A130" t="s">
        <v>325</v>
      </c>
      <c r="B130" t="s">
        <v>346</v>
      </c>
      <c r="C130" t="s">
        <v>347</v>
      </c>
      <c r="D130">
        <v>700</v>
      </c>
      <c r="E130">
        <v>0</v>
      </c>
      <c r="F130">
        <v>0</v>
      </c>
    </row>
    <row r="131" spans="1:6">
      <c r="A131" t="s">
        <v>325</v>
      </c>
      <c r="B131" t="s">
        <v>348</v>
      </c>
      <c r="C131" t="s">
        <v>349</v>
      </c>
      <c r="D131">
        <v>1200</v>
      </c>
      <c r="E131">
        <v>0</v>
      </c>
      <c r="F131">
        <v>0</v>
      </c>
    </row>
    <row r="132" spans="1:6">
      <c r="A132" t="s">
        <v>325</v>
      </c>
      <c r="B132" t="s">
        <v>350</v>
      </c>
      <c r="C132" t="s">
        <v>351</v>
      </c>
      <c r="D132">
        <v>600</v>
      </c>
      <c r="E132">
        <v>0</v>
      </c>
      <c r="F132">
        <v>0</v>
      </c>
    </row>
    <row r="133" spans="1:6">
      <c r="A133" t="s">
        <v>325</v>
      </c>
      <c r="B133" t="s">
        <v>352</v>
      </c>
      <c r="C133" t="s">
        <v>353</v>
      </c>
      <c r="D133">
        <v>1800</v>
      </c>
      <c r="E133">
        <v>0</v>
      </c>
      <c r="F133">
        <v>0</v>
      </c>
    </row>
    <row r="134" spans="1:6">
      <c r="A134" t="s">
        <v>325</v>
      </c>
      <c r="B134" t="s">
        <v>354</v>
      </c>
      <c r="C134" t="s">
        <v>193</v>
      </c>
      <c r="D134">
        <v>600</v>
      </c>
      <c r="E134">
        <v>0</v>
      </c>
      <c r="F134">
        <v>0</v>
      </c>
    </row>
    <row r="135" spans="1:6">
      <c r="A135" t="s">
        <v>325</v>
      </c>
      <c r="B135" t="s">
        <v>355</v>
      </c>
      <c r="C135" t="s">
        <v>356</v>
      </c>
      <c r="D135">
        <v>2000</v>
      </c>
      <c r="E135">
        <v>0</v>
      </c>
      <c r="F135">
        <v>0</v>
      </c>
    </row>
    <row r="136" spans="1:6">
      <c r="A136" t="s">
        <v>325</v>
      </c>
      <c r="B136" t="s">
        <v>357</v>
      </c>
      <c r="C136" t="s">
        <v>358</v>
      </c>
      <c r="D136">
        <v>4500</v>
      </c>
      <c r="E136">
        <v>0</v>
      </c>
      <c r="F136">
        <v>0</v>
      </c>
    </row>
    <row r="137" spans="1:6">
      <c r="A137" t="s">
        <v>325</v>
      </c>
      <c r="B137" t="s">
        <v>359</v>
      </c>
      <c r="C137" t="s">
        <v>360</v>
      </c>
      <c r="D137">
        <v>700</v>
      </c>
      <c r="E137">
        <v>0</v>
      </c>
      <c r="F137">
        <v>0</v>
      </c>
    </row>
    <row r="138" spans="1:6">
      <c r="A138" t="s">
        <v>325</v>
      </c>
      <c r="B138" t="s">
        <v>361</v>
      </c>
      <c r="C138" t="s">
        <v>362</v>
      </c>
      <c r="D138">
        <v>2500</v>
      </c>
      <c r="E138">
        <v>0</v>
      </c>
      <c r="F138">
        <v>0</v>
      </c>
    </row>
    <row r="139" spans="1:6">
      <c r="A139" t="s">
        <v>325</v>
      </c>
      <c r="B139" t="s">
        <v>363</v>
      </c>
      <c r="C139" t="s">
        <v>364</v>
      </c>
      <c r="D139">
        <v>1500</v>
      </c>
      <c r="E139">
        <v>0</v>
      </c>
      <c r="F139">
        <v>0</v>
      </c>
    </row>
    <row r="140" spans="1:6">
      <c r="A140" t="s">
        <v>325</v>
      </c>
      <c r="B140" t="s">
        <v>365</v>
      </c>
      <c r="C140" t="s">
        <v>366</v>
      </c>
      <c r="D140">
        <v>2500</v>
      </c>
      <c r="E140">
        <v>0</v>
      </c>
      <c r="F140">
        <v>0</v>
      </c>
    </row>
    <row r="141" spans="1:6">
      <c r="A141" t="s">
        <v>325</v>
      </c>
      <c r="B141" t="s">
        <v>367</v>
      </c>
      <c r="C141" t="s">
        <v>368</v>
      </c>
      <c r="D141">
        <v>5000</v>
      </c>
      <c r="E141">
        <v>0</v>
      </c>
      <c r="F141">
        <v>0</v>
      </c>
    </row>
    <row r="142" spans="1:6">
      <c r="A142" t="s">
        <v>369</v>
      </c>
      <c r="B142" t="s">
        <v>370</v>
      </c>
      <c r="C142" t="s">
        <v>371</v>
      </c>
      <c r="D142">
        <v>0</v>
      </c>
      <c r="E142">
        <v>200</v>
      </c>
      <c r="F142">
        <v>0</v>
      </c>
    </row>
    <row r="143" spans="1:6">
      <c r="A143" t="s">
        <v>369</v>
      </c>
      <c r="B143" t="s">
        <v>372</v>
      </c>
      <c r="C143" t="s">
        <v>373</v>
      </c>
      <c r="D143">
        <v>0</v>
      </c>
      <c r="E143">
        <v>500</v>
      </c>
      <c r="F143">
        <v>0</v>
      </c>
    </row>
    <row r="144" spans="1:6">
      <c r="A144" t="s">
        <v>369</v>
      </c>
      <c r="B144" t="s">
        <v>374</v>
      </c>
      <c r="C144" t="s">
        <v>375</v>
      </c>
      <c r="D144">
        <v>0</v>
      </c>
      <c r="E144">
        <v>1000</v>
      </c>
      <c r="F144">
        <v>0</v>
      </c>
    </row>
    <row r="145" spans="1:6">
      <c r="A145" t="s">
        <v>369</v>
      </c>
      <c r="B145" t="s">
        <v>376</v>
      </c>
      <c r="C145" t="s">
        <v>376</v>
      </c>
      <c r="D145">
        <v>0</v>
      </c>
      <c r="E145">
        <v>20</v>
      </c>
      <c r="F145">
        <v>0</v>
      </c>
    </row>
    <row r="146" spans="1:6">
      <c r="A146" t="s">
        <v>369</v>
      </c>
      <c r="B146" t="s">
        <v>377</v>
      </c>
      <c r="C146" t="s">
        <v>377</v>
      </c>
      <c r="D146">
        <v>0</v>
      </c>
      <c r="E146">
        <v>30</v>
      </c>
      <c r="F146">
        <v>0</v>
      </c>
    </row>
    <row r="147" spans="1:6">
      <c r="A147" t="s">
        <v>369</v>
      </c>
      <c r="B147" t="s">
        <v>378</v>
      </c>
      <c r="C147" t="s">
        <v>378</v>
      </c>
      <c r="D147">
        <v>0</v>
      </c>
      <c r="E147">
        <v>50</v>
      </c>
      <c r="F147">
        <v>0</v>
      </c>
    </row>
    <row r="148" spans="1:6">
      <c r="A148" t="s">
        <v>369</v>
      </c>
      <c r="B148" t="s">
        <v>379</v>
      </c>
      <c r="C148" t="s">
        <v>379</v>
      </c>
      <c r="D148">
        <v>0</v>
      </c>
      <c r="E148">
        <v>600</v>
      </c>
      <c r="F148">
        <v>0</v>
      </c>
    </row>
    <row r="149" spans="1:6">
      <c r="A149" t="s">
        <v>369</v>
      </c>
      <c r="B149" t="s">
        <v>380</v>
      </c>
      <c r="C149" t="s">
        <v>380</v>
      </c>
      <c r="D149">
        <v>0</v>
      </c>
      <c r="E149">
        <v>600</v>
      </c>
      <c r="F149">
        <v>0</v>
      </c>
    </row>
    <row r="150" spans="1:6">
      <c r="A150" t="s">
        <v>369</v>
      </c>
      <c r="B150" t="s">
        <v>381</v>
      </c>
      <c r="C150" t="s">
        <v>381</v>
      </c>
      <c r="D150">
        <v>0</v>
      </c>
      <c r="E150">
        <v>15</v>
      </c>
      <c r="F150">
        <v>0</v>
      </c>
    </row>
  </sheetData>
  <autoFilter ref="A1:F150"/>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H1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4.7109375" customWidth="1"/>
    <col min="2" max="2" width="20.7109375" customWidth="1"/>
    <col min="3" max="3" width="23.7109375" customWidth="1"/>
    <col min="4" max="4" width="17.7109375" customWidth="1"/>
    <col min="5" max="5" width="18.7109375" customWidth="1"/>
    <col min="6" max="6" width="14.7109375" customWidth="1"/>
    <col min="7" max="8" width="23.7109375" customWidth="1"/>
  </cols>
  <sheetData>
    <row r="1" spans="1:8" ht="32" customHeight="1">
      <c r="A1" s="4" t="s">
        <v>382</v>
      </c>
      <c r="B1" s="4" t="s">
        <v>383</v>
      </c>
      <c r="C1" s="4" t="s">
        <v>384</v>
      </c>
      <c r="D1" s="4" t="s">
        <v>385</v>
      </c>
      <c r="E1" s="4" t="s">
        <v>386</v>
      </c>
      <c r="F1" s="4" t="s">
        <v>38</v>
      </c>
      <c r="G1" s="4" t="s">
        <v>387</v>
      </c>
      <c r="H1" s="4" t="s">
        <v>388</v>
      </c>
    </row>
    <row r="2" spans="1:8">
      <c r="A2" t="s">
        <v>389</v>
      </c>
      <c r="B2" t="s">
        <v>390</v>
      </c>
      <c r="C2" s="8">
        <v>0.99</v>
      </c>
      <c r="D2">
        <v>100</v>
      </c>
      <c r="E2">
        <v>200</v>
      </c>
      <c r="F2">
        <v>0</v>
      </c>
      <c r="G2" s="7">
        <f>D2/C2</f>
        <v>101.01010101010101</v>
      </c>
      <c r="H2" s="7">
        <f>E2/C2</f>
        <v>202.02020202020202</v>
      </c>
    </row>
    <row r="3" spans="1:8">
      <c r="A3" t="s">
        <v>391</v>
      </c>
      <c r="B3" t="s">
        <v>390</v>
      </c>
      <c r="C3" s="8">
        <v>2.99</v>
      </c>
      <c r="D3">
        <v>330</v>
      </c>
      <c r="E3">
        <v>660</v>
      </c>
      <c r="F3">
        <v>0</v>
      </c>
      <c r="G3" s="7">
        <f>D3/C3</f>
        <v>110.36789297658862</v>
      </c>
      <c r="H3" s="7">
        <f>E3/C3</f>
        <v>220.73578595317724</v>
      </c>
    </row>
    <row r="4" spans="1:8">
      <c r="A4" t="s">
        <v>392</v>
      </c>
      <c r="B4" t="s">
        <v>390</v>
      </c>
      <c r="C4" s="8">
        <v>4.99</v>
      </c>
      <c r="D4">
        <v>600</v>
      </c>
      <c r="E4">
        <v>1200</v>
      </c>
      <c r="F4">
        <v>0</v>
      </c>
      <c r="G4" s="7">
        <f>D4/C4</f>
        <v>120.24048096192384</v>
      </c>
      <c r="H4" s="7">
        <f>E4/C4</f>
        <v>240.48096192384767</v>
      </c>
    </row>
    <row r="5" spans="1:8">
      <c r="A5" t="s">
        <v>393</v>
      </c>
      <c r="B5" t="s">
        <v>390</v>
      </c>
      <c r="C5" s="8">
        <v>9.99</v>
      </c>
      <c r="D5">
        <v>1300</v>
      </c>
      <c r="E5">
        <v>2600</v>
      </c>
      <c r="F5">
        <v>0</v>
      </c>
      <c r="G5" s="7">
        <f>D5/C5</f>
        <v>130.13013013013014</v>
      </c>
      <c r="H5" s="7">
        <f>E5/C5</f>
        <v>260.2602602602603</v>
      </c>
    </row>
    <row r="6" spans="1:8">
      <c r="A6" t="s">
        <v>394</v>
      </c>
      <c r="B6" t="s">
        <v>390</v>
      </c>
      <c r="C6" s="8">
        <v>19.99</v>
      </c>
      <c r="D6">
        <v>3000</v>
      </c>
      <c r="E6">
        <v>6000</v>
      </c>
      <c r="F6">
        <v>0</v>
      </c>
      <c r="G6" s="7">
        <f>D6/C6</f>
        <v>150.0750375187594</v>
      </c>
      <c r="H6" s="7">
        <f>E6/C6</f>
        <v>300.1500750375188</v>
      </c>
    </row>
    <row r="7" spans="1:8">
      <c r="A7" t="s">
        <v>395</v>
      </c>
      <c r="B7" t="s">
        <v>396</v>
      </c>
      <c r="C7" s="8">
        <v>1.99</v>
      </c>
      <c r="D7">
        <v>150</v>
      </c>
      <c r="E7">
        <v>150</v>
      </c>
      <c r="F7">
        <v>2000</v>
      </c>
      <c r="G7" s="7">
        <f>D7/C7</f>
        <v>75.37688442211055</v>
      </c>
      <c r="H7" s="7">
        <f>E7/C7</f>
        <v>75.37688442211055</v>
      </c>
    </row>
    <row r="8" spans="1:8">
      <c r="A8" t="s">
        <v>397</v>
      </c>
      <c r="B8" t="s">
        <v>396</v>
      </c>
      <c r="C8" s="8">
        <v>3.99</v>
      </c>
      <c r="D8">
        <v>0</v>
      </c>
      <c r="E8">
        <v>0</v>
      </c>
      <c r="F8">
        <v>0</v>
      </c>
      <c r="G8" s="7">
        <f>D8/C8</f>
        <v>0.0</v>
      </c>
      <c r="H8" s="7">
        <f>E8/C8</f>
        <v>0.0</v>
      </c>
    </row>
    <row r="9" spans="1:8">
      <c r="A9" t="s">
        <v>398</v>
      </c>
      <c r="B9" t="s">
        <v>390</v>
      </c>
      <c r="C9" s="8">
        <v>3.99</v>
      </c>
      <c r="D9">
        <v>0</v>
      </c>
      <c r="E9">
        <v>0</v>
      </c>
      <c r="F9">
        <v>0</v>
      </c>
      <c r="G9" s="7">
        <f>D9/C9</f>
        <v>0.0</v>
      </c>
      <c r="H9" s="7">
        <f>E9/C9</f>
        <v>0.0</v>
      </c>
    </row>
    <row r="10" spans="1:8">
      <c r="A10" t="s">
        <v>399</v>
      </c>
      <c r="B10" t="s">
        <v>396</v>
      </c>
      <c r="C10" s="8">
        <v>4.99</v>
      </c>
      <c r="D10">
        <v>0</v>
      </c>
      <c r="E10">
        <v>0</v>
      </c>
      <c r="F10">
        <v>0</v>
      </c>
      <c r="G10" s="7">
        <f>D10/C10</f>
        <v>0.0</v>
      </c>
      <c r="H10" s="7">
        <f>E10/C10</f>
        <v>0.0</v>
      </c>
    </row>
    <row r="11" spans="1:8">
      <c r="A11" t="s">
        <v>400</v>
      </c>
      <c r="B11" t="s">
        <v>396</v>
      </c>
      <c r="C11" s="8">
        <v>9.99</v>
      </c>
      <c r="D11">
        <v>600</v>
      </c>
      <c r="E11">
        <v>600</v>
      </c>
      <c r="F11">
        <v>0</v>
      </c>
      <c r="G11" s="7">
        <f>D11/C11</f>
        <v>60.06006006006006</v>
      </c>
      <c r="H11" s="7">
        <f>E11/C11</f>
        <v>60.06006006006006</v>
      </c>
    </row>
    <row r="14" spans="1:8">
      <c r="A14" s="3" t="s">
        <v>401</v>
      </c>
      <c r="B14" s="3"/>
      <c r="C14" s="3"/>
      <c r="D14" s="3"/>
      <c r="E14" s="3"/>
      <c r="F14" s="3"/>
      <c r="G14" s="3"/>
      <c r="H14" s="3"/>
    </row>
    <row r="15" spans="1:8">
      <c r="A15" s="3"/>
      <c r="B15" s="3"/>
      <c r="C15" s="3"/>
      <c r="D15" s="3"/>
      <c r="E15" s="3"/>
      <c r="F15" s="3"/>
      <c r="G15" s="3"/>
      <c r="H15" s="3"/>
    </row>
    <row r="16" spans="1:8">
      <c r="A16" s="3"/>
      <c r="B16" s="3"/>
      <c r="C16" s="3"/>
      <c r="D16" s="3"/>
      <c r="E16" s="3"/>
      <c r="F16" s="3"/>
      <c r="G16" s="3"/>
      <c r="H16" s="3"/>
    </row>
    <row r="18" spans="1:8">
      <c r="A18" s="2" t="s">
        <v>402</v>
      </c>
      <c r="B18" s="2"/>
      <c r="C18" s="2"/>
      <c r="D18" s="2"/>
      <c r="E18" s="2"/>
      <c r="F18" s="2"/>
      <c r="G18" s="2"/>
      <c r="H18" s="2"/>
    </row>
    <row r="19" spans="1:8">
      <c r="A19" s="2"/>
      <c r="B19" s="2"/>
      <c r="C19" s="2"/>
      <c r="D19" s="2"/>
      <c r="E19" s="2"/>
      <c r="F19" s="2"/>
      <c r="G19" s="2"/>
      <c r="H19" s="2"/>
    </row>
  </sheetData>
  <mergeCells count="2">
    <mergeCell ref="A14:H16"/>
    <mergeCell ref="A18:H19"/>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2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5.7109375" customWidth="1"/>
    <col min="2" max="2" width="21.7109375" customWidth="1"/>
    <col min="3" max="4" width="30.7109375" customWidth="1"/>
    <col min="5" max="5" width="18.7109375" customWidth="1"/>
    <col min="6" max="6" width="55.7109375" customWidth="1"/>
  </cols>
  <sheetData>
    <row r="1" spans="1:6" ht="32" customHeight="1">
      <c r="A1" s="4" t="s">
        <v>403</v>
      </c>
      <c r="B1" s="4" t="s">
        <v>404</v>
      </c>
      <c r="C1" s="4" t="s">
        <v>405</v>
      </c>
      <c r="D1" s="4" t="s">
        <v>406</v>
      </c>
      <c r="E1" s="4" t="s">
        <v>407</v>
      </c>
      <c r="F1" s="4" t="s">
        <v>408</v>
      </c>
    </row>
    <row r="2" spans="1:6">
      <c r="A2">
        <v>8</v>
      </c>
      <c r="B2">
        <v>0</v>
      </c>
      <c r="C2">
        <v>150</v>
      </c>
      <c r="D2">
        <v>165</v>
      </c>
      <c r="F2" t="s">
        <v>409</v>
      </c>
    </row>
    <row r="3" spans="1:6">
      <c r="A3">
        <v>8</v>
      </c>
      <c r="B3">
        <v>3</v>
      </c>
      <c r="C3">
        <v>195</v>
      </c>
      <c r="D3">
        <v>215</v>
      </c>
      <c r="F3" t="s">
        <v>409</v>
      </c>
    </row>
    <row r="4" spans="1:6">
      <c r="A4">
        <v>8</v>
      </c>
      <c r="B4">
        <v>5</v>
      </c>
      <c r="C4">
        <v>225</v>
      </c>
      <c r="D4">
        <v>248</v>
      </c>
      <c r="F4" t="s">
        <v>409</v>
      </c>
    </row>
    <row r="5" spans="1:6">
      <c r="A5">
        <v>6</v>
      </c>
      <c r="B5">
        <v>0</v>
      </c>
      <c r="C5">
        <v>150</v>
      </c>
      <c r="D5">
        <v>165</v>
      </c>
      <c r="F5" t="s">
        <v>409</v>
      </c>
    </row>
    <row r="6" spans="1:6">
      <c r="A6">
        <v>6</v>
      </c>
      <c r="B6">
        <v>3</v>
      </c>
      <c r="C6">
        <v>195</v>
      </c>
      <c r="D6">
        <v>215</v>
      </c>
      <c r="F6" t="s">
        <v>409</v>
      </c>
    </row>
    <row r="7" spans="1:6">
      <c r="A7">
        <v>6</v>
      </c>
      <c r="B7">
        <v>5</v>
      </c>
      <c r="C7">
        <v>225</v>
      </c>
      <c r="D7">
        <v>248</v>
      </c>
      <c r="F7" t="s">
        <v>409</v>
      </c>
    </row>
    <row r="8" spans="1:6">
      <c r="A8">
        <v>4</v>
      </c>
      <c r="B8">
        <v>0</v>
      </c>
      <c r="C8">
        <v>230</v>
      </c>
      <c r="D8">
        <v>245</v>
      </c>
      <c r="F8" t="s">
        <v>409</v>
      </c>
    </row>
    <row r="9" spans="1:6">
      <c r="A9">
        <v>4</v>
      </c>
      <c r="B9">
        <v>3</v>
      </c>
      <c r="C9">
        <v>299</v>
      </c>
      <c r="D9">
        <v>319</v>
      </c>
      <c r="F9" t="s">
        <v>409</v>
      </c>
    </row>
    <row r="10" spans="1:6">
      <c r="A10">
        <v>4</v>
      </c>
      <c r="B10">
        <v>5</v>
      </c>
      <c r="C10">
        <v>345</v>
      </c>
      <c r="D10">
        <v>368</v>
      </c>
      <c r="F10" t="s">
        <v>409</v>
      </c>
    </row>
    <row r="11" spans="1:6">
      <c r="A11">
        <v>2</v>
      </c>
      <c r="B11">
        <v>0</v>
      </c>
      <c r="C11">
        <v>310</v>
      </c>
      <c r="D11">
        <v>325</v>
      </c>
      <c r="F11" t="s">
        <v>409</v>
      </c>
    </row>
    <row r="12" spans="1:6">
      <c r="A12">
        <v>2</v>
      </c>
      <c r="B12">
        <v>3</v>
      </c>
      <c r="C12">
        <v>403</v>
      </c>
      <c r="D12">
        <v>423</v>
      </c>
      <c r="F12" t="s">
        <v>409</v>
      </c>
    </row>
    <row r="13" spans="1:6">
      <c r="A13">
        <v>2</v>
      </c>
      <c r="B13">
        <v>5</v>
      </c>
      <c r="C13">
        <v>465</v>
      </c>
      <c r="D13">
        <v>488</v>
      </c>
      <c r="F13" t="s">
        <v>409</v>
      </c>
    </row>
    <row r="14" spans="1:6">
      <c r="A14">
        <v>1</v>
      </c>
      <c r="B14">
        <v>0</v>
      </c>
      <c r="C14">
        <v>350</v>
      </c>
      <c r="D14">
        <v>365</v>
      </c>
      <c r="F14" t="s">
        <v>409</v>
      </c>
    </row>
    <row r="15" spans="1:6">
      <c r="A15">
        <v>1</v>
      </c>
      <c r="B15">
        <v>3</v>
      </c>
      <c r="C15">
        <v>455</v>
      </c>
      <c r="D15">
        <v>475</v>
      </c>
      <c r="F15" t="s">
        <v>409</v>
      </c>
    </row>
    <row r="16" spans="1:6">
      <c r="A16">
        <v>1</v>
      </c>
      <c r="B16">
        <v>5</v>
      </c>
      <c r="C16">
        <v>525</v>
      </c>
      <c r="D16">
        <v>548</v>
      </c>
      <c r="F16" t="s">
        <v>409</v>
      </c>
    </row>
    <row r="17" spans="1:6">
      <c r="A17">
        <v>41</v>
      </c>
      <c r="B17" t="s">
        <v>410</v>
      </c>
      <c r="C17">
        <v>90.59999999999999</v>
      </c>
      <c r="D17">
        <v>75</v>
      </c>
      <c r="E17">
        <v>250</v>
      </c>
      <c r="F17" t="s">
        <v>411</v>
      </c>
    </row>
    <row r="18" spans="1:6">
      <c r="A18">
        <v>65</v>
      </c>
      <c r="B18" t="s">
        <v>410</v>
      </c>
      <c r="C18">
        <v>90.59999999999999</v>
      </c>
      <c r="D18">
        <v>75</v>
      </c>
      <c r="E18">
        <v>250</v>
      </c>
      <c r="F18" t="s">
        <v>412</v>
      </c>
    </row>
    <row r="19" spans="1:6">
      <c r="A19">
        <v>90</v>
      </c>
      <c r="B19" t="s">
        <v>410</v>
      </c>
      <c r="C19">
        <v>90.59999999999999</v>
      </c>
      <c r="D19">
        <v>75</v>
      </c>
      <c r="E19">
        <v>250</v>
      </c>
      <c r="F19" t="s">
        <v>413</v>
      </c>
    </row>
    <row r="20" spans="1:6">
      <c r="A20" t="s">
        <v>414</v>
      </c>
      <c r="B20" t="s">
        <v>415</v>
      </c>
      <c r="C20">
        <v>10</v>
      </c>
      <c r="D20" t="s">
        <v>416</v>
      </c>
      <c r="E20" t="s">
        <v>417</v>
      </c>
      <c r="F20" t="s">
        <v>418</v>
      </c>
    </row>
    <row r="21" spans="1:6">
      <c r="A21" t="s">
        <v>419</v>
      </c>
      <c r="B21" t="s">
        <v>420</v>
      </c>
      <c r="C21">
        <v>21</v>
      </c>
      <c r="D21" t="s">
        <v>421</v>
      </c>
      <c r="E21" t="s">
        <v>422</v>
      </c>
      <c r="F21" t="s">
        <v>418</v>
      </c>
    </row>
    <row r="22" spans="1:6">
      <c r="A22" t="s">
        <v>423</v>
      </c>
      <c r="B22" t="s">
        <v>424</v>
      </c>
      <c r="C22">
        <v>45</v>
      </c>
      <c r="D22" t="s">
        <v>425</v>
      </c>
      <c r="E22" t="s">
        <v>426</v>
      </c>
      <c r="F22" t="s">
        <v>418</v>
      </c>
    </row>
    <row r="25" spans="1:6">
      <c r="A25" s="3" t="s">
        <v>427</v>
      </c>
      <c r="B25" s="3"/>
      <c r="C25" s="3"/>
      <c r="D25" s="3"/>
      <c r="E25" s="3"/>
      <c r="F25" s="3"/>
    </row>
    <row r="26" spans="1:6">
      <c r="A26" s="3"/>
      <c r="B26" s="3"/>
      <c r="C26" s="3"/>
      <c r="D26" s="3"/>
      <c r="E26" s="3"/>
      <c r="F26" s="3"/>
    </row>
    <row r="27" spans="1:6">
      <c r="A27" s="3"/>
      <c r="B27" s="3"/>
      <c r="C27" s="3"/>
      <c r="D27" s="3"/>
      <c r="E27" s="3"/>
      <c r="F27" s="3"/>
    </row>
  </sheetData>
  <mergeCells count="1">
    <mergeCell ref="A25:F27"/>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45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10.7109375" customWidth="1"/>
    <col min="3" max="3" width="14.7109375" customWidth="1"/>
    <col min="4" max="4" width="12.7109375" customWidth="1"/>
    <col min="5" max="5" width="14.7109375" customWidth="1"/>
    <col min="6" max="6" width="16.7109375" customWidth="1"/>
    <col min="7" max="7" width="14.7109375" customWidth="1"/>
    <col min="8" max="8" width="12.7109375" customWidth="1"/>
    <col min="9" max="9" width="15.7109375" customWidth="1"/>
    <col min="10" max="10" width="14.7109375" customWidth="1"/>
  </cols>
  <sheetData>
    <row r="1" spans="1:10" ht="32" customHeight="1">
      <c r="A1" s="4" t="s">
        <v>19</v>
      </c>
      <c r="B1" s="4" t="s">
        <v>20</v>
      </c>
      <c r="C1" s="4" t="s">
        <v>428</v>
      </c>
      <c r="D1" s="4" t="s">
        <v>21</v>
      </c>
      <c r="E1" s="4" t="s">
        <v>429</v>
      </c>
      <c r="F1" s="4" t="s">
        <v>38</v>
      </c>
      <c r="G1" s="4" t="s">
        <v>54</v>
      </c>
      <c r="H1" s="4" t="s">
        <v>430</v>
      </c>
      <c r="I1" s="4" t="s">
        <v>431</v>
      </c>
      <c r="J1" s="4" t="s">
        <v>432</v>
      </c>
    </row>
    <row r="2" spans="1:10">
      <c r="A2" t="s">
        <v>28</v>
      </c>
      <c r="B2">
        <v>1</v>
      </c>
      <c r="C2" t="s">
        <v>433</v>
      </c>
      <c r="D2">
        <v>2</v>
      </c>
      <c r="E2">
        <v>12</v>
      </c>
      <c r="F2">
        <v>1362</v>
      </c>
      <c r="G2">
        <v>82</v>
      </c>
      <c r="H2">
        <v>1</v>
      </c>
      <c r="I2">
        <v>1</v>
      </c>
      <c r="J2">
        <v>0</v>
      </c>
    </row>
    <row r="3" spans="1:10">
      <c r="A3" t="s">
        <v>28</v>
      </c>
      <c r="B3">
        <v>2</v>
      </c>
      <c r="C3" t="s">
        <v>434</v>
      </c>
      <c r="D3">
        <v>2</v>
      </c>
      <c r="E3">
        <v>12</v>
      </c>
      <c r="F3">
        <v>1362</v>
      </c>
      <c r="G3">
        <v>82</v>
      </c>
      <c r="H3">
        <v>1</v>
      </c>
      <c r="I3">
        <v>1</v>
      </c>
      <c r="J3">
        <v>0</v>
      </c>
    </row>
    <row r="4" spans="1:10">
      <c r="A4" t="s">
        <v>28</v>
      </c>
      <c r="B4">
        <v>3</v>
      </c>
      <c r="C4" t="s">
        <v>435</v>
      </c>
      <c r="D4">
        <v>4</v>
      </c>
      <c r="E4">
        <v>24</v>
      </c>
      <c r="F4">
        <v>2907</v>
      </c>
      <c r="G4">
        <v>87</v>
      </c>
      <c r="H4">
        <v>5</v>
      </c>
      <c r="I4">
        <v>2</v>
      </c>
      <c r="J4">
        <v>0</v>
      </c>
    </row>
    <row r="5" spans="1:10">
      <c r="A5" t="s">
        <v>28</v>
      </c>
      <c r="B5">
        <v>4</v>
      </c>
      <c r="C5" t="s">
        <v>436</v>
      </c>
      <c r="D5">
        <v>4</v>
      </c>
      <c r="E5">
        <v>24</v>
      </c>
      <c r="F5">
        <v>2907</v>
      </c>
      <c r="G5">
        <v>87</v>
      </c>
      <c r="H5">
        <v>5</v>
      </c>
      <c r="I5">
        <v>2</v>
      </c>
      <c r="J5">
        <v>0</v>
      </c>
    </row>
    <row r="6" spans="1:10">
      <c r="A6" t="s">
        <v>28</v>
      </c>
      <c r="B6">
        <v>5</v>
      </c>
      <c r="C6" t="s">
        <v>437</v>
      </c>
      <c r="D6">
        <v>4</v>
      </c>
      <c r="E6">
        <v>24</v>
      </c>
      <c r="F6">
        <v>2907</v>
      </c>
      <c r="G6">
        <v>87</v>
      </c>
      <c r="H6">
        <v>5</v>
      </c>
      <c r="I6">
        <v>2</v>
      </c>
      <c r="J6">
        <v>0</v>
      </c>
    </row>
    <row r="7" spans="1:10">
      <c r="A7" t="s">
        <v>28</v>
      </c>
      <c r="B7">
        <v>6</v>
      </c>
      <c r="C7" t="s">
        <v>438</v>
      </c>
      <c r="D7">
        <v>6</v>
      </c>
      <c r="E7">
        <v>36</v>
      </c>
      <c r="F7">
        <v>3741</v>
      </c>
      <c r="G7">
        <v>114</v>
      </c>
      <c r="H7">
        <v>6</v>
      </c>
      <c r="I7">
        <v>3</v>
      </c>
      <c r="J7">
        <v>0</v>
      </c>
    </row>
    <row r="8" spans="1:10">
      <c r="A8" t="s">
        <v>28</v>
      </c>
      <c r="B8">
        <v>7</v>
      </c>
      <c r="C8" t="s">
        <v>439</v>
      </c>
      <c r="D8">
        <v>6</v>
      </c>
      <c r="E8">
        <v>36</v>
      </c>
      <c r="F8">
        <v>3741</v>
      </c>
      <c r="G8">
        <v>114</v>
      </c>
      <c r="H8">
        <v>6</v>
      </c>
      <c r="I8">
        <v>3</v>
      </c>
      <c r="J8">
        <v>0</v>
      </c>
    </row>
    <row r="9" spans="1:10">
      <c r="A9" t="s">
        <v>28</v>
      </c>
      <c r="B9">
        <v>8</v>
      </c>
      <c r="C9" t="s">
        <v>440</v>
      </c>
      <c r="D9">
        <v>8</v>
      </c>
      <c r="E9">
        <v>48</v>
      </c>
      <c r="F9">
        <v>4610</v>
      </c>
      <c r="G9">
        <v>119</v>
      </c>
      <c r="H9">
        <v>7</v>
      </c>
      <c r="I9">
        <v>4</v>
      </c>
      <c r="J9">
        <v>0</v>
      </c>
    </row>
    <row r="10" spans="1:10">
      <c r="A10" t="s">
        <v>28</v>
      </c>
      <c r="B10">
        <v>9</v>
      </c>
      <c r="C10" t="s">
        <v>441</v>
      </c>
      <c r="D10">
        <v>8</v>
      </c>
      <c r="E10">
        <v>48</v>
      </c>
      <c r="F10">
        <v>4610</v>
      </c>
      <c r="G10">
        <v>119</v>
      </c>
      <c r="H10">
        <v>7</v>
      </c>
      <c r="I10">
        <v>4</v>
      </c>
      <c r="J10">
        <v>0</v>
      </c>
    </row>
    <row r="11" spans="1:10">
      <c r="A11" t="s">
        <v>28</v>
      </c>
      <c r="B11">
        <v>10</v>
      </c>
      <c r="C11" t="s">
        <v>442</v>
      </c>
      <c r="D11">
        <v>10</v>
      </c>
      <c r="E11">
        <v>60</v>
      </c>
      <c r="F11">
        <v>5700</v>
      </c>
      <c r="G11">
        <v>131</v>
      </c>
      <c r="H11">
        <v>9</v>
      </c>
      <c r="I11">
        <v>5</v>
      </c>
      <c r="J11">
        <v>0</v>
      </c>
    </row>
    <row r="12" spans="1:10">
      <c r="A12" t="s">
        <v>28</v>
      </c>
      <c r="B12">
        <v>11</v>
      </c>
      <c r="C12" t="s">
        <v>443</v>
      </c>
      <c r="D12">
        <v>10</v>
      </c>
      <c r="E12">
        <v>60</v>
      </c>
      <c r="F12">
        <v>5700</v>
      </c>
      <c r="G12">
        <v>131</v>
      </c>
      <c r="H12">
        <v>9</v>
      </c>
      <c r="I12">
        <v>5</v>
      </c>
      <c r="J12">
        <v>0</v>
      </c>
    </row>
    <row r="13" spans="1:10">
      <c r="A13" t="s">
        <v>28</v>
      </c>
      <c r="B13">
        <v>12</v>
      </c>
      <c r="C13" t="s">
        <v>444</v>
      </c>
      <c r="D13">
        <v>10</v>
      </c>
      <c r="E13">
        <v>60</v>
      </c>
      <c r="F13">
        <v>5700</v>
      </c>
      <c r="G13">
        <v>131</v>
      </c>
      <c r="H13">
        <v>9</v>
      </c>
      <c r="I13">
        <v>5</v>
      </c>
      <c r="J13">
        <v>0</v>
      </c>
    </row>
    <row r="14" spans="1:10">
      <c r="A14" t="s">
        <v>28</v>
      </c>
      <c r="B14">
        <v>13</v>
      </c>
      <c r="C14" t="s">
        <v>445</v>
      </c>
      <c r="D14">
        <v>12</v>
      </c>
      <c r="E14">
        <v>72</v>
      </c>
      <c r="F14">
        <v>7026</v>
      </c>
      <c r="G14">
        <v>149</v>
      </c>
      <c r="H14">
        <v>10</v>
      </c>
      <c r="I14">
        <v>6</v>
      </c>
      <c r="J14">
        <v>0</v>
      </c>
    </row>
    <row r="15" spans="1:10">
      <c r="A15" t="s">
        <v>28</v>
      </c>
      <c r="B15">
        <v>14</v>
      </c>
      <c r="C15" t="s">
        <v>446</v>
      </c>
      <c r="D15">
        <v>12</v>
      </c>
      <c r="E15">
        <v>72</v>
      </c>
      <c r="F15">
        <v>7026</v>
      </c>
      <c r="G15">
        <v>149</v>
      </c>
      <c r="H15">
        <v>10</v>
      </c>
      <c r="I15">
        <v>6</v>
      </c>
      <c r="J15">
        <v>0</v>
      </c>
    </row>
    <row r="16" spans="1:10">
      <c r="A16" t="s">
        <v>28</v>
      </c>
      <c r="B16">
        <v>15</v>
      </c>
      <c r="C16" t="s">
        <v>447</v>
      </c>
      <c r="D16">
        <v>14</v>
      </c>
      <c r="E16">
        <v>84</v>
      </c>
      <c r="F16">
        <v>8294</v>
      </c>
      <c r="G16">
        <v>179</v>
      </c>
      <c r="H16">
        <v>10</v>
      </c>
      <c r="I16">
        <v>7</v>
      </c>
      <c r="J16">
        <v>0</v>
      </c>
    </row>
    <row r="17" spans="1:10">
      <c r="A17" t="s">
        <v>28</v>
      </c>
      <c r="B17">
        <v>16</v>
      </c>
      <c r="C17" t="s">
        <v>448</v>
      </c>
      <c r="D17">
        <v>14</v>
      </c>
      <c r="E17">
        <v>84</v>
      </c>
      <c r="F17">
        <v>8294</v>
      </c>
      <c r="G17">
        <v>179</v>
      </c>
      <c r="H17">
        <v>10</v>
      </c>
      <c r="I17">
        <v>7</v>
      </c>
      <c r="J17">
        <v>0</v>
      </c>
    </row>
    <row r="18" spans="1:10">
      <c r="A18" t="s">
        <v>28</v>
      </c>
      <c r="B18">
        <v>17</v>
      </c>
      <c r="C18" t="s">
        <v>449</v>
      </c>
      <c r="D18">
        <v>16</v>
      </c>
      <c r="E18">
        <v>96</v>
      </c>
      <c r="F18">
        <v>9167</v>
      </c>
      <c r="G18">
        <v>181</v>
      </c>
      <c r="H18">
        <v>12</v>
      </c>
      <c r="I18">
        <v>8</v>
      </c>
      <c r="J18">
        <v>0</v>
      </c>
    </row>
    <row r="19" spans="1:10">
      <c r="A19" t="s">
        <v>28</v>
      </c>
      <c r="B19">
        <v>18</v>
      </c>
      <c r="C19" t="s">
        <v>450</v>
      </c>
      <c r="D19">
        <v>16</v>
      </c>
      <c r="E19">
        <v>96</v>
      </c>
      <c r="F19">
        <v>9167</v>
      </c>
      <c r="G19">
        <v>181</v>
      </c>
      <c r="H19">
        <v>12</v>
      </c>
      <c r="I19">
        <v>8</v>
      </c>
      <c r="J19">
        <v>0</v>
      </c>
    </row>
    <row r="20" spans="1:10">
      <c r="A20" t="s">
        <v>28</v>
      </c>
      <c r="B20">
        <v>19</v>
      </c>
      <c r="C20" t="s">
        <v>451</v>
      </c>
      <c r="D20">
        <v>16</v>
      </c>
      <c r="E20">
        <v>96</v>
      </c>
      <c r="F20">
        <v>9167</v>
      </c>
      <c r="G20">
        <v>181</v>
      </c>
      <c r="H20">
        <v>12</v>
      </c>
      <c r="I20">
        <v>8</v>
      </c>
      <c r="J20">
        <v>0</v>
      </c>
    </row>
    <row r="21" spans="1:10">
      <c r="A21" t="s">
        <v>28</v>
      </c>
      <c r="B21">
        <v>20</v>
      </c>
      <c r="C21" t="s">
        <v>452</v>
      </c>
      <c r="D21">
        <v>18</v>
      </c>
      <c r="E21">
        <v>108</v>
      </c>
      <c r="F21">
        <v>9810</v>
      </c>
      <c r="G21">
        <v>181</v>
      </c>
      <c r="H21">
        <v>13</v>
      </c>
      <c r="I21">
        <v>9</v>
      </c>
      <c r="J21">
        <v>0</v>
      </c>
    </row>
    <row r="22" spans="1:10">
      <c r="A22" t="s">
        <v>28</v>
      </c>
      <c r="B22">
        <v>21</v>
      </c>
      <c r="C22" t="s">
        <v>453</v>
      </c>
      <c r="D22">
        <v>18</v>
      </c>
      <c r="E22">
        <v>108</v>
      </c>
      <c r="F22">
        <v>9810</v>
      </c>
      <c r="G22">
        <v>181</v>
      </c>
      <c r="H22">
        <v>13</v>
      </c>
      <c r="I22">
        <v>9</v>
      </c>
      <c r="J22">
        <v>0</v>
      </c>
    </row>
    <row r="23" spans="1:10">
      <c r="A23" t="s">
        <v>28</v>
      </c>
      <c r="B23">
        <v>22</v>
      </c>
      <c r="C23" t="s">
        <v>454</v>
      </c>
      <c r="D23">
        <v>20</v>
      </c>
      <c r="E23">
        <v>120</v>
      </c>
      <c r="F23">
        <v>10914</v>
      </c>
      <c r="G23">
        <v>196</v>
      </c>
      <c r="H23">
        <v>14</v>
      </c>
      <c r="I23">
        <v>10</v>
      </c>
      <c r="J23">
        <v>0</v>
      </c>
    </row>
    <row r="24" spans="1:10">
      <c r="A24" t="s">
        <v>28</v>
      </c>
      <c r="B24">
        <v>23</v>
      </c>
      <c r="C24" t="s">
        <v>455</v>
      </c>
      <c r="D24">
        <v>20</v>
      </c>
      <c r="E24">
        <v>120</v>
      </c>
      <c r="F24">
        <v>10914</v>
      </c>
      <c r="G24">
        <v>196</v>
      </c>
      <c r="H24">
        <v>14</v>
      </c>
      <c r="I24">
        <v>10</v>
      </c>
      <c r="J24">
        <v>0</v>
      </c>
    </row>
    <row r="25" spans="1:10">
      <c r="A25" t="s">
        <v>28</v>
      </c>
      <c r="B25">
        <v>24</v>
      </c>
      <c r="C25" t="s">
        <v>456</v>
      </c>
      <c r="D25">
        <v>22</v>
      </c>
      <c r="E25">
        <v>132</v>
      </c>
      <c r="F25">
        <v>13462</v>
      </c>
      <c r="G25">
        <v>218</v>
      </c>
      <c r="H25">
        <v>16</v>
      </c>
      <c r="I25">
        <v>11</v>
      </c>
      <c r="J25">
        <v>0</v>
      </c>
    </row>
    <row r="26" spans="1:10">
      <c r="A26" t="s">
        <v>28</v>
      </c>
      <c r="B26">
        <v>25</v>
      </c>
      <c r="C26" t="s">
        <v>457</v>
      </c>
      <c r="D26">
        <v>22</v>
      </c>
      <c r="E26">
        <v>132</v>
      </c>
      <c r="F26">
        <v>13462</v>
      </c>
      <c r="G26">
        <v>218</v>
      </c>
      <c r="H26">
        <v>16</v>
      </c>
      <c r="I26">
        <v>11</v>
      </c>
      <c r="J26">
        <v>0</v>
      </c>
    </row>
    <row r="27" spans="1:10">
      <c r="A27" t="s">
        <v>28</v>
      </c>
      <c r="B27">
        <v>26</v>
      </c>
      <c r="C27" t="s">
        <v>458</v>
      </c>
      <c r="D27">
        <v>22</v>
      </c>
      <c r="E27">
        <v>132</v>
      </c>
      <c r="F27">
        <v>13462</v>
      </c>
      <c r="G27">
        <v>218</v>
      </c>
      <c r="H27">
        <v>16</v>
      </c>
      <c r="I27">
        <v>11</v>
      </c>
      <c r="J27">
        <v>0</v>
      </c>
    </row>
    <row r="28" spans="1:10">
      <c r="A28" t="s">
        <v>28</v>
      </c>
      <c r="B28">
        <v>27</v>
      </c>
      <c r="C28" t="s">
        <v>459</v>
      </c>
      <c r="D28">
        <v>24</v>
      </c>
      <c r="E28">
        <v>144</v>
      </c>
      <c r="F28">
        <v>14346</v>
      </c>
      <c r="G28">
        <v>218</v>
      </c>
      <c r="H28">
        <v>18</v>
      </c>
      <c r="I28">
        <v>12</v>
      </c>
      <c r="J28">
        <v>0</v>
      </c>
    </row>
    <row r="29" spans="1:10">
      <c r="A29" t="s">
        <v>28</v>
      </c>
      <c r="B29">
        <v>28</v>
      </c>
      <c r="C29" t="s">
        <v>460</v>
      </c>
      <c r="D29">
        <v>24</v>
      </c>
      <c r="E29">
        <v>144</v>
      </c>
      <c r="F29">
        <v>14346</v>
      </c>
      <c r="G29">
        <v>218</v>
      </c>
      <c r="H29">
        <v>18</v>
      </c>
      <c r="I29">
        <v>12</v>
      </c>
      <c r="J29">
        <v>0</v>
      </c>
    </row>
    <row r="30" spans="1:10">
      <c r="A30" t="s">
        <v>28</v>
      </c>
      <c r="B30">
        <v>29</v>
      </c>
      <c r="C30" t="s">
        <v>461</v>
      </c>
      <c r="D30">
        <v>26</v>
      </c>
      <c r="E30">
        <v>156</v>
      </c>
      <c r="F30">
        <v>15132</v>
      </c>
      <c r="G30">
        <v>218</v>
      </c>
      <c r="H30">
        <v>18</v>
      </c>
      <c r="I30">
        <v>13</v>
      </c>
      <c r="J30">
        <v>0</v>
      </c>
    </row>
    <row r="31" spans="1:10">
      <c r="A31" t="s">
        <v>28</v>
      </c>
      <c r="B31">
        <v>30</v>
      </c>
      <c r="C31" t="s">
        <v>462</v>
      </c>
      <c r="D31">
        <v>26</v>
      </c>
      <c r="E31">
        <v>156</v>
      </c>
      <c r="F31">
        <v>15132</v>
      </c>
      <c r="G31">
        <v>218</v>
      </c>
      <c r="H31">
        <v>18</v>
      </c>
      <c r="I31">
        <v>13</v>
      </c>
      <c r="J31">
        <v>0</v>
      </c>
    </row>
    <row r="32" spans="1:10">
      <c r="A32" t="s">
        <v>28</v>
      </c>
      <c r="B32">
        <v>31</v>
      </c>
      <c r="C32" t="s">
        <v>463</v>
      </c>
      <c r="D32">
        <v>28</v>
      </c>
      <c r="E32">
        <v>168</v>
      </c>
      <c r="F32">
        <v>16566</v>
      </c>
      <c r="G32">
        <v>238</v>
      </c>
      <c r="H32">
        <v>19</v>
      </c>
      <c r="I32">
        <v>14</v>
      </c>
      <c r="J32">
        <v>0</v>
      </c>
    </row>
    <row r="33" spans="1:10">
      <c r="A33" t="s">
        <v>28</v>
      </c>
      <c r="B33">
        <v>32</v>
      </c>
      <c r="C33" t="s">
        <v>464</v>
      </c>
      <c r="D33">
        <v>28</v>
      </c>
      <c r="E33">
        <v>168</v>
      </c>
      <c r="F33">
        <v>16566</v>
      </c>
      <c r="G33">
        <v>238</v>
      </c>
      <c r="H33">
        <v>19</v>
      </c>
      <c r="I33">
        <v>14</v>
      </c>
      <c r="J33">
        <v>0</v>
      </c>
    </row>
    <row r="34" spans="1:10">
      <c r="A34" t="s">
        <v>28</v>
      </c>
      <c r="B34">
        <v>33</v>
      </c>
      <c r="C34" t="s">
        <v>465</v>
      </c>
      <c r="D34">
        <v>28</v>
      </c>
      <c r="E34">
        <v>168</v>
      </c>
      <c r="F34">
        <v>16566</v>
      </c>
      <c r="G34">
        <v>238</v>
      </c>
      <c r="H34">
        <v>19</v>
      </c>
      <c r="I34">
        <v>14</v>
      </c>
      <c r="J34">
        <v>0</v>
      </c>
    </row>
    <row r="35" spans="1:10">
      <c r="A35" t="s">
        <v>28</v>
      </c>
      <c r="B35">
        <v>34</v>
      </c>
      <c r="C35" t="s">
        <v>466</v>
      </c>
      <c r="D35">
        <v>30</v>
      </c>
      <c r="E35">
        <v>180</v>
      </c>
      <c r="F35">
        <v>17955</v>
      </c>
      <c r="G35">
        <v>263</v>
      </c>
      <c r="H35">
        <v>20</v>
      </c>
      <c r="I35">
        <v>15</v>
      </c>
      <c r="J35">
        <v>0</v>
      </c>
    </row>
    <row r="36" spans="1:10">
      <c r="A36" t="s">
        <v>28</v>
      </c>
      <c r="B36">
        <v>35</v>
      </c>
      <c r="C36" t="s">
        <v>467</v>
      </c>
      <c r="D36">
        <v>30</v>
      </c>
      <c r="E36">
        <v>180</v>
      </c>
      <c r="F36">
        <v>17955</v>
      </c>
      <c r="G36">
        <v>263</v>
      </c>
      <c r="H36">
        <v>20</v>
      </c>
      <c r="I36">
        <v>15</v>
      </c>
      <c r="J36">
        <v>0</v>
      </c>
    </row>
    <row r="37" spans="1:10">
      <c r="A37" t="s">
        <v>28</v>
      </c>
      <c r="B37">
        <v>36</v>
      </c>
      <c r="C37" t="s">
        <v>468</v>
      </c>
      <c r="D37">
        <v>32</v>
      </c>
      <c r="E37">
        <v>192</v>
      </c>
      <c r="F37">
        <v>18867</v>
      </c>
      <c r="G37">
        <v>263</v>
      </c>
      <c r="H37">
        <v>21</v>
      </c>
      <c r="I37">
        <v>16</v>
      </c>
      <c r="J37">
        <v>0</v>
      </c>
    </row>
    <row r="38" spans="1:10">
      <c r="A38" t="s">
        <v>28</v>
      </c>
      <c r="B38">
        <v>37</v>
      </c>
      <c r="C38" t="s">
        <v>469</v>
      </c>
      <c r="D38">
        <v>32</v>
      </c>
      <c r="E38">
        <v>192</v>
      </c>
      <c r="F38">
        <v>18867</v>
      </c>
      <c r="G38">
        <v>263</v>
      </c>
      <c r="H38">
        <v>21</v>
      </c>
      <c r="I38">
        <v>16</v>
      </c>
      <c r="J38">
        <v>0</v>
      </c>
    </row>
    <row r="39" spans="1:10">
      <c r="A39" t="s">
        <v>28</v>
      </c>
      <c r="B39">
        <v>38</v>
      </c>
      <c r="C39" t="s">
        <v>470</v>
      </c>
      <c r="D39">
        <v>34</v>
      </c>
      <c r="E39">
        <v>204</v>
      </c>
      <c r="F39">
        <v>20236</v>
      </c>
      <c r="G39">
        <v>288</v>
      </c>
      <c r="H39">
        <v>22</v>
      </c>
      <c r="I39">
        <v>17</v>
      </c>
      <c r="J39">
        <v>0</v>
      </c>
    </row>
    <row r="40" spans="1:10">
      <c r="A40" t="s">
        <v>28</v>
      </c>
      <c r="B40">
        <v>39</v>
      </c>
      <c r="C40" t="s">
        <v>471</v>
      </c>
      <c r="D40">
        <v>34</v>
      </c>
      <c r="E40">
        <v>204</v>
      </c>
      <c r="F40">
        <v>20236</v>
      </c>
      <c r="G40">
        <v>288</v>
      </c>
      <c r="H40">
        <v>22</v>
      </c>
      <c r="I40">
        <v>17</v>
      </c>
      <c r="J40">
        <v>0</v>
      </c>
    </row>
    <row r="41" spans="1:10">
      <c r="A41" t="s">
        <v>28</v>
      </c>
      <c r="B41">
        <v>40</v>
      </c>
      <c r="C41" t="s">
        <v>472</v>
      </c>
      <c r="D41">
        <v>34</v>
      </c>
      <c r="E41">
        <v>204</v>
      </c>
      <c r="F41">
        <v>20236</v>
      </c>
      <c r="G41">
        <v>288</v>
      </c>
      <c r="H41">
        <v>22</v>
      </c>
      <c r="I41">
        <v>17</v>
      </c>
      <c r="J41">
        <v>0</v>
      </c>
    </row>
    <row r="42" spans="1:10">
      <c r="A42" t="s">
        <v>28</v>
      </c>
      <c r="B42">
        <v>41</v>
      </c>
      <c r="C42" t="s">
        <v>473</v>
      </c>
      <c r="D42">
        <v>36</v>
      </c>
      <c r="E42">
        <v>216</v>
      </c>
      <c r="F42">
        <v>21838</v>
      </c>
      <c r="G42">
        <v>303</v>
      </c>
      <c r="H42">
        <v>22</v>
      </c>
      <c r="I42">
        <v>18</v>
      </c>
      <c r="J42">
        <v>1</v>
      </c>
    </row>
    <row r="43" spans="1:10">
      <c r="A43" t="s">
        <v>28</v>
      </c>
      <c r="B43">
        <v>42</v>
      </c>
      <c r="C43" t="s">
        <v>474</v>
      </c>
      <c r="D43">
        <v>36</v>
      </c>
      <c r="E43">
        <v>216</v>
      </c>
      <c r="F43">
        <v>21838</v>
      </c>
      <c r="G43">
        <v>303</v>
      </c>
      <c r="H43">
        <v>22</v>
      </c>
      <c r="I43">
        <v>18</v>
      </c>
      <c r="J43">
        <v>1</v>
      </c>
    </row>
    <row r="44" spans="1:10">
      <c r="A44" t="s">
        <v>28</v>
      </c>
      <c r="B44">
        <v>43</v>
      </c>
      <c r="C44" t="s">
        <v>475</v>
      </c>
      <c r="D44">
        <v>38</v>
      </c>
      <c r="E44">
        <v>228</v>
      </c>
      <c r="F44">
        <v>22505</v>
      </c>
      <c r="G44">
        <v>303</v>
      </c>
      <c r="H44">
        <v>23</v>
      </c>
      <c r="I44">
        <v>19</v>
      </c>
      <c r="J44">
        <v>1</v>
      </c>
    </row>
    <row r="45" spans="1:10">
      <c r="A45" t="s">
        <v>28</v>
      </c>
      <c r="B45">
        <v>44</v>
      </c>
      <c r="C45" t="s">
        <v>476</v>
      </c>
      <c r="D45">
        <v>38</v>
      </c>
      <c r="E45">
        <v>228</v>
      </c>
      <c r="F45">
        <v>22505</v>
      </c>
      <c r="G45">
        <v>303</v>
      </c>
      <c r="H45">
        <v>23</v>
      </c>
      <c r="I45">
        <v>19</v>
      </c>
      <c r="J45">
        <v>1</v>
      </c>
    </row>
    <row r="46" spans="1:10">
      <c r="A46" t="s">
        <v>28</v>
      </c>
      <c r="B46">
        <v>45</v>
      </c>
      <c r="C46" t="s">
        <v>477</v>
      </c>
      <c r="D46">
        <v>40</v>
      </c>
      <c r="E46">
        <v>240</v>
      </c>
      <c r="F46">
        <v>24077</v>
      </c>
      <c r="G46">
        <v>306</v>
      </c>
      <c r="H46">
        <v>25</v>
      </c>
      <c r="I46">
        <v>20</v>
      </c>
      <c r="J46">
        <v>1</v>
      </c>
    </row>
    <row r="47" spans="1:10">
      <c r="A47" t="s">
        <v>28</v>
      </c>
      <c r="B47">
        <v>46</v>
      </c>
      <c r="C47" t="s">
        <v>478</v>
      </c>
      <c r="D47">
        <v>40</v>
      </c>
      <c r="E47">
        <v>240</v>
      </c>
      <c r="F47">
        <v>24077</v>
      </c>
      <c r="G47">
        <v>306</v>
      </c>
      <c r="H47">
        <v>25</v>
      </c>
      <c r="I47">
        <v>20</v>
      </c>
      <c r="J47">
        <v>1</v>
      </c>
    </row>
    <row r="48" spans="1:10">
      <c r="A48" t="s">
        <v>28</v>
      </c>
      <c r="B48">
        <v>47</v>
      </c>
      <c r="C48" t="s">
        <v>479</v>
      </c>
      <c r="D48">
        <v>40</v>
      </c>
      <c r="E48">
        <v>240</v>
      </c>
      <c r="F48">
        <v>24077</v>
      </c>
      <c r="G48">
        <v>306</v>
      </c>
      <c r="H48">
        <v>25</v>
      </c>
      <c r="I48">
        <v>20</v>
      </c>
      <c r="J48">
        <v>1</v>
      </c>
    </row>
    <row r="49" spans="1:10">
      <c r="A49" t="s">
        <v>28</v>
      </c>
      <c r="B49">
        <v>48</v>
      </c>
      <c r="C49" t="s">
        <v>480</v>
      </c>
      <c r="D49">
        <v>42</v>
      </c>
      <c r="E49">
        <v>252</v>
      </c>
      <c r="F49">
        <v>25814</v>
      </c>
      <c r="G49">
        <v>351</v>
      </c>
      <c r="H49">
        <v>25</v>
      </c>
      <c r="I49">
        <v>21</v>
      </c>
      <c r="J49">
        <v>1</v>
      </c>
    </row>
    <row r="50" spans="1:10">
      <c r="A50" t="s">
        <v>28</v>
      </c>
      <c r="B50">
        <v>49</v>
      </c>
      <c r="C50" t="s">
        <v>481</v>
      </c>
      <c r="D50">
        <v>42</v>
      </c>
      <c r="E50">
        <v>252</v>
      </c>
      <c r="F50">
        <v>25814</v>
      </c>
      <c r="G50">
        <v>351</v>
      </c>
      <c r="H50">
        <v>25</v>
      </c>
      <c r="I50">
        <v>21</v>
      </c>
      <c r="J50">
        <v>1</v>
      </c>
    </row>
    <row r="51" spans="1:10">
      <c r="A51" t="s">
        <v>28</v>
      </c>
      <c r="B51">
        <v>50</v>
      </c>
      <c r="C51" t="s">
        <v>482</v>
      </c>
      <c r="D51">
        <v>44</v>
      </c>
      <c r="E51">
        <v>264</v>
      </c>
      <c r="F51">
        <v>27051</v>
      </c>
      <c r="G51">
        <v>359</v>
      </c>
      <c r="H51">
        <v>26</v>
      </c>
      <c r="I51">
        <v>22</v>
      </c>
      <c r="J51">
        <v>1</v>
      </c>
    </row>
    <row r="52" spans="1:10">
      <c r="A52" t="s">
        <v>28</v>
      </c>
      <c r="B52">
        <v>51</v>
      </c>
      <c r="C52" t="s">
        <v>483</v>
      </c>
      <c r="D52">
        <v>44</v>
      </c>
      <c r="E52">
        <v>264</v>
      </c>
      <c r="F52">
        <v>27051</v>
      </c>
      <c r="G52">
        <v>359</v>
      </c>
      <c r="H52">
        <v>26</v>
      </c>
      <c r="I52">
        <v>22</v>
      </c>
      <c r="J52">
        <v>1</v>
      </c>
    </row>
    <row r="53" spans="1:10">
      <c r="A53" t="s">
        <v>28</v>
      </c>
      <c r="B53">
        <v>52</v>
      </c>
      <c r="C53" t="s">
        <v>484</v>
      </c>
      <c r="D53">
        <v>46</v>
      </c>
      <c r="E53">
        <v>276</v>
      </c>
      <c r="F53">
        <v>28284</v>
      </c>
      <c r="G53">
        <v>369</v>
      </c>
      <c r="H53">
        <v>28</v>
      </c>
      <c r="I53">
        <v>23</v>
      </c>
      <c r="J53">
        <v>1</v>
      </c>
    </row>
    <row r="54" spans="1:10">
      <c r="A54" t="s">
        <v>28</v>
      </c>
      <c r="B54">
        <v>53</v>
      </c>
      <c r="C54" t="s">
        <v>485</v>
      </c>
      <c r="D54">
        <v>46</v>
      </c>
      <c r="E54">
        <v>276</v>
      </c>
      <c r="F54">
        <v>28284</v>
      </c>
      <c r="G54">
        <v>369</v>
      </c>
      <c r="H54">
        <v>28</v>
      </c>
      <c r="I54">
        <v>23</v>
      </c>
      <c r="J54">
        <v>1</v>
      </c>
    </row>
    <row r="55" spans="1:10">
      <c r="A55" t="s">
        <v>28</v>
      </c>
      <c r="B55">
        <v>54</v>
      </c>
      <c r="C55" t="s">
        <v>486</v>
      </c>
      <c r="D55">
        <v>46</v>
      </c>
      <c r="E55">
        <v>276</v>
      </c>
      <c r="F55">
        <v>28284</v>
      </c>
      <c r="G55">
        <v>369</v>
      </c>
      <c r="H55">
        <v>28</v>
      </c>
      <c r="I55">
        <v>23</v>
      </c>
      <c r="J55">
        <v>1</v>
      </c>
    </row>
    <row r="56" spans="1:10">
      <c r="A56" t="s">
        <v>28</v>
      </c>
      <c r="B56">
        <v>55</v>
      </c>
      <c r="C56" t="s">
        <v>487</v>
      </c>
      <c r="D56">
        <v>48</v>
      </c>
      <c r="E56">
        <v>288</v>
      </c>
      <c r="F56">
        <v>29008</v>
      </c>
      <c r="G56">
        <v>374</v>
      </c>
      <c r="H56">
        <v>29</v>
      </c>
      <c r="I56">
        <v>24</v>
      </c>
      <c r="J56">
        <v>1</v>
      </c>
    </row>
    <row r="57" spans="1:10">
      <c r="A57" t="s">
        <v>28</v>
      </c>
      <c r="B57">
        <v>56</v>
      </c>
      <c r="C57" t="s">
        <v>488</v>
      </c>
      <c r="D57">
        <v>48</v>
      </c>
      <c r="E57">
        <v>288</v>
      </c>
      <c r="F57">
        <v>29008</v>
      </c>
      <c r="G57">
        <v>374</v>
      </c>
      <c r="H57">
        <v>29</v>
      </c>
      <c r="I57">
        <v>24</v>
      </c>
      <c r="J57">
        <v>1</v>
      </c>
    </row>
    <row r="58" spans="1:10">
      <c r="A58" t="s">
        <v>28</v>
      </c>
      <c r="B58">
        <v>57</v>
      </c>
      <c r="C58" t="s">
        <v>489</v>
      </c>
      <c r="D58">
        <v>50</v>
      </c>
      <c r="E58">
        <v>300</v>
      </c>
      <c r="F58">
        <v>29980</v>
      </c>
      <c r="G58">
        <v>374</v>
      </c>
      <c r="H58">
        <v>29</v>
      </c>
      <c r="I58">
        <v>25</v>
      </c>
      <c r="J58">
        <v>1</v>
      </c>
    </row>
    <row r="59" spans="1:10">
      <c r="A59" t="s">
        <v>28</v>
      </c>
      <c r="B59">
        <v>58</v>
      </c>
      <c r="C59" t="s">
        <v>490</v>
      </c>
      <c r="D59">
        <v>50</v>
      </c>
      <c r="E59">
        <v>300</v>
      </c>
      <c r="F59">
        <v>29980</v>
      </c>
      <c r="G59">
        <v>374</v>
      </c>
      <c r="H59">
        <v>29</v>
      </c>
      <c r="I59">
        <v>25</v>
      </c>
      <c r="J59">
        <v>1</v>
      </c>
    </row>
    <row r="60" spans="1:10">
      <c r="A60" t="s">
        <v>28</v>
      </c>
      <c r="B60">
        <v>59</v>
      </c>
      <c r="C60" t="s">
        <v>491</v>
      </c>
      <c r="D60">
        <v>52</v>
      </c>
      <c r="E60">
        <v>312</v>
      </c>
      <c r="F60">
        <v>31170</v>
      </c>
      <c r="G60">
        <v>379</v>
      </c>
      <c r="H60">
        <v>31</v>
      </c>
      <c r="I60">
        <v>26</v>
      </c>
      <c r="J60">
        <v>1</v>
      </c>
    </row>
    <row r="61" spans="1:10">
      <c r="A61" t="s">
        <v>28</v>
      </c>
      <c r="B61">
        <v>60</v>
      </c>
      <c r="C61" t="s">
        <v>492</v>
      </c>
      <c r="D61">
        <v>52</v>
      </c>
      <c r="E61">
        <v>312</v>
      </c>
      <c r="F61">
        <v>31170</v>
      </c>
      <c r="G61">
        <v>379</v>
      </c>
      <c r="H61">
        <v>31</v>
      </c>
      <c r="I61">
        <v>26</v>
      </c>
      <c r="J61">
        <v>1</v>
      </c>
    </row>
    <row r="62" spans="1:10">
      <c r="A62" t="s">
        <v>28</v>
      </c>
      <c r="B62">
        <v>61</v>
      </c>
      <c r="C62" t="s">
        <v>493</v>
      </c>
      <c r="D62">
        <v>52</v>
      </c>
      <c r="E62">
        <v>312</v>
      </c>
      <c r="F62">
        <v>31170</v>
      </c>
      <c r="G62">
        <v>379</v>
      </c>
      <c r="H62">
        <v>31</v>
      </c>
      <c r="I62">
        <v>26</v>
      </c>
      <c r="J62">
        <v>1</v>
      </c>
    </row>
    <row r="63" spans="1:10">
      <c r="A63" t="s">
        <v>28</v>
      </c>
      <c r="B63">
        <v>62</v>
      </c>
      <c r="C63" t="s">
        <v>494</v>
      </c>
      <c r="D63">
        <v>54</v>
      </c>
      <c r="E63">
        <v>324</v>
      </c>
      <c r="F63">
        <v>31968</v>
      </c>
      <c r="G63">
        <v>379</v>
      </c>
      <c r="H63">
        <v>31</v>
      </c>
      <c r="I63">
        <v>27</v>
      </c>
      <c r="J63">
        <v>1</v>
      </c>
    </row>
    <row r="64" spans="1:10">
      <c r="A64" t="s">
        <v>28</v>
      </c>
      <c r="B64">
        <v>63</v>
      </c>
      <c r="C64" t="s">
        <v>495</v>
      </c>
      <c r="D64">
        <v>54</v>
      </c>
      <c r="E64">
        <v>324</v>
      </c>
      <c r="F64">
        <v>31968</v>
      </c>
      <c r="G64">
        <v>379</v>
      </c>
      <c r="H64">
        <v>31</v>
      </c>
      <c r="I64">
        <v>27</v>
      </c>
      <c r="J64">
        <v>1</v>
      </c>
    </row>
    <row r="65" spans="1:10">
      <c r="A65" t="s">
        <v>28</v>
      </c>
      <c r="B65">
        <v>64</v>
      </c>
      <c r="C65" t="s">
        <v>496</v>
      </c>
      <c r="D65">
        <v>56</v>
      </c>
      <c r="E65">
        <v>336</v>
      </c>
      <c r="F65">
        <v>33193</v>
      </c>
      <c r="G65">
        <v>409</v>
      </c>
      <c r="H65">
        <v>31</v>
      </c>
      <c r="I65">
        <v>28</v>
      </c>
      <c r="J65">
        <v>1</v>
      </c>
    </row>
    <row r="66" spans="1:10">
      <c r="A66" t="s">
        <v>28</v>
      </c>
      <c r="B66">
        <v>65</v>
      </c>
      <c r="C66" t="s">
        <v>497</v>
      </c>
      <c r="D66">
        <v>56</v>
      </c>
      <c r="E66">
        <v>336</v>
      </c>
      <c r="F66">
        <v>33193</v>
      </c>
      <c r="G66">
        <v>409</v>
      </c>
      <c r="H66">
        <v>31</v>
      </c>
      <c r="I66">
        <v>28</v>
      </c>
      <c r="J66">
        <v>1</v>
      </c>
    </row>
    <row r="67" spans="1:10">
      <c r="A67" t="s">
        <v>28</v>
      </c>
      <c r="B67">
        <v>66</v>
      </c>
      <c r="C67" t="s">
        <v>498</v>
      </c>
      <c r="D67">
        <v>58</v>
      </c>
      <c r="E67">
        <v>348</v>
      </c>
      <c r="F67">
        <v>33961</v>
      </c>
      <c r="G67">
        <v>409</v>
      </c>
      <c r="H67">
        <v>33</v>
      </c>
      <c r="I67">
        <v>29</v>
      </c>
      <c r="J67">
        <v>1</v>
      </c>
    </row>
    <row r="68" spans="1:10">
      <c r="A68" t="s">
        <v>28</v>
      </c>
      <c r="B68">
        <v>67</v>
      </c>
      <c r="C68" t="s">
        <v>499</v>
      </c>
      <c r="D68">
        <v>58</v>
      </c>
      <c r="E68">
        <v>348</v>
      </c>
      <c r="F68">
        <v>33961</v>
      </c>
      <c r="G68">
        <v>409</v>
      </c>
      <c r="H68">
        <v>33</v>
      </c>
      <c r="I68">
        <v>29</v>
      </c>
      <c r="J68">
        <v>1</v>
      </c>
    </row>
    <row r="69" spans="1:10">
      <c r="A69" t="s">
        <v>28</v>
      </c>
      <c r="B69">
        <v>68</v>
      </c>
      <c r="C69" t="s">
        <v>500</v>
      </c>
      <c r="D69">
        <v>58</v>
      </c>
      <c r="E69">
        <v>348</v>
      </c>
      <c r="F69">
        <v>33961</v>
      </c>
      <c r="G69">
        <v>409</v>
      </c>
      <c r="H69">
        <v>33</v>
      </c>
      <c r="I69">
        <v>29</v>
      </c>
      <c r="J69">
        <v>1</v>
      </c>
    </row>
    <row r="70" spans="1:10">
      <c r="A70" t="s">
        <v>28</v>
      </c>
      <c r="B70">
        <v>69</v>
      </c>
      <c r="C70" t="s">
        <v>501</v>
      </c>
      <c r="D70">
        <v>60</v>
      </c>
      <c r="E70">
        <v>360</v>
      </c>
      <c r="F70">
        <v>34616</v>
      </c>
      <c r="G70">
        <v>409</v>
      </c>
      <c r="H70">
        <v>33</v>
      </c>
      <c r="I70">
        <v>30</v>
      </c>
      <c r="J70">
        <v>1</v>
      </c>
    </row>
    <row r="71" spans="1:10">
      <c r="A71" t="s">
        <v>28</v>
      </c>
      <c r="B71">
        <v>70</v>
      </c>
      <c r="C71" t="s">
        <v>502</v>
      </c>
      <c r="D71">
        <v>60</v>
      </c>
      <c r="E71">
        <v>360</v>
      </c>
      <c r="F71">
        <v>34616</v>
      </c>
      <c r="G71">
        <v>409</v>
      </c>
      <c r="H71">
        <v>33</v>
      </c>
      <c r="I71">
        <v>30</v>
      </c>
      <c r="J71">
        <v>1</v>
      </c>
    </row>
    <row r="72" spans="1:10">
      <c r="A72" t="s">
        <v>28</v>
      </c>
      <c r="B72">
        <v>71</v>
      </c>
      <c r="C72" t="s">
        <v>503</v>
      </c>
      <c r="D72">
        <v>62</v>
      </c>
      <c r="E72">
        <v>372</v>
      </c>
      <c r="F72">
        <v>36343</v>
      </c>
      <c r="G72">
        <v>437</v>
      </c>
      <c r="H72">
        <v>34</v>
      </c>
      <c r="I72">
        <v>31</v>
      </c>
      <c r="J72">
        <v>1</v>
      </c>
    </row>
    <row r="73" spans="1:10">
      <c r="A73" t="s">
        <v>28</v>
      </c>
      <c r="B73">
        <v>72</v>
      </c>
      <c r="C73" t="s">
        <v>504</v>
      </c>
      <c r="D73">
        <v>62</v>
      </c>
      <c r="E73">
        <v>372</v>
      </c>
      <c r="F73">
        <v>36343</v>
      </c>
      <c r="G73">
        <v>437</v>
      </c>
      <c r="H73">
        <v>34</v>
      </c>
      <c r="I73">
        <v>31</v>
      </c>
      <c r="J73">
        <v>1</v>
      </c>
    </row>
    <row r="74" spans="1:10">
      <c r="A74" t="s">
        <v>28</v>
      </c>
      <c r="B74">
        <v>73</v>
      </c>
      <c r="C74" t="s">
        <v>505</v>
      </c>
      <c r="D74">
        <v>64</v>
      </c>
      <c r="E74">
        <v>384</v>
      </c>
      <c r="F74">
        <v>38583</v>
      </c>
      <c r="G74">
        <v>437</v>
      </c>
      <c r="H74">
        <v>35</v>
      </c>
      <c r="I74">
        <v>32</v>
      </c>
      <c r="J74">
        <v>1</v>
      </c>
    </row>
    <row r="75" spans="1:10">
      <c r="A75" t="s">
        <v>28</v>
      </c>
      <c r="B75">
        <v>74</v>
      </c>
      <c r="C75" t="s">
        <v>506</v>
      </c>
      <c r="D75">
        <v>64</v>
      </c>
      <c r="E75">
        <v>384</v>
      </c>
      <c r="F75">
        <v>38583</v>
      </c>
      <c r="G75">
        <v>437</v>
      </c>
      <c r="H75">
        <v>35</v>
      </c>
      <c r="I75">
        <v>32</v>
      </c>
      <c r="J75">
        <v>1</v>
      </c>
    </row>
    <row r="76" spans="1:10">
      <c r="A76" t="s">
        <v>28</v>
      </c>
      <c r="B76">
        <v>75</v>
      </c>
      <c r="C76" t="s">
        <v>507</v>
      </c>
      <c r="D76">
        <v>64</v>
      </c>
      <c r="E76">
        <v>384</v>
      </c>
      <c r="F76">
        <v>38583</v>
      </c>
      <c r="G76">
        <v>437</v>
      </c>
      <c r="H76">
        <v>35</v>
      </c>
      <c r="I76">
        <v>32</v>
      </c>
      <c r="J76">
        <v>1</v>
      </c>
    </row>
    <row r="77" spans="1:10">
      <c r="A77" t="s">
        <v>28</v>
      </c>
      <c r="B77">
        <v>76</v>
      </c>
      <c r="C77" t="s">
        <v>508</v>
      </c>
      <c r="D77">
        <v>66</v>
      </c>
      <c r="E77">
        <v>396</v>
      </c>
      <c r="F77">
        <v>41057</v>
      </c>
      <c r="G77">
        <v>452</v>
      </c>
      <c r="H77">
        <v>39</v>
      </c>
      <c r="I77">
        <v>33</v>
      </c>
      <c r="J77">
        <v>1</v>
      </c>
    </row>
    <row r="78" spans="1:10">
      <c r="A78" t="s">
        <v>28</v>
      </c>
      <c r="B78">
        <v>77</v>
      </c>
      <c r="C78" t="s">
        <v>509</v>
      </c>
      <c r="D78">
        <v>66</v>
      </c>
      <c r="E78">
        <v>396</v>
      </c>
      <c r="F78">
        <v>41057</v>
      </c>
      <c r="G78">
        <v>452</v>
      </c>
      <c r="H78">
        <v>39</v>
      </c>
      <c r="I78">
        <v>33</v>
      </c>
      <c r="J78">
        <v>1</v>
      </c>
    </row>
    <row r="79" spans="1:10">
      <c r="A79" t="s">
        <v>28</v>
      </c>
      <c r="B79">
        <v>78</v>
      </c>
      <c r="C79" t="s">
        <v>510</v>
      </c>
      <c r="D79">
        <v>68</v>
      </c>
      <c r="E79">
        <v>408</v>
      </c>
      <c r="F79">
        <v>42516</v>
      </c>
      <c r="G79">
        <v>455</v>
      </c>
      <c r="H79">
        <v>39</v>
      </c>
      <c r="I79">
        <v>34</v>
      </c>
      <c r="J79">
        <v>1</v>
      </c>
    </row>
    <row r="80" spans="1:10">
      <c r="A80" t="s">
        <v>28</v>
      </c>
      <c r="B80">
        <v>79</v>
      </c>
      <c r="C80" t="s">
        <v>511</v>
      </c>
      <c r="D80">
        <v>68</v>
      </c>
      <c r="E80">
        <v>408</v>
      </c>
      <c r="F80">
        <v>42516</v>
      </c>
      <c r="G80">
        <v>455</v>
      </c>
      <c r="H80">
        <v>39</v>
      </c>
      <c r="I80">
        <v>34</v>
      </c>
      <c r="J80">
        <v>1</v>
      </c>
    </row>
    <row r="81" spans="1:10">
      <c r="A81" t="s">
        <v>28</v>
      </c>
      <c r="B81">
        <v>80</v>
      </c>
      <c r="C81" t="s">
        <v>512</v>
      </c>
      <c r="D81">
        <v>70</v>
      </c>
      <c r="E81">
        <v>420</v>
      </c>
      <c r="F81">
        <v>43556</v>
      </c>
      <c r="G81">
        <v>478</v>
      </c>
      <c r="H81">
        <v>39</v>
      </c>
      <c r="I81">
        <v>35</v>
      </c>
      <c r="J81">
        <v>1</v>
      </c>
    </row>
    <row r="82" spans="1:10">
      <c r="A82" t="s">
        <v>28</v>
      </c>
      <c r="B82">
        <v>81</v>
      </c>
      <c r="C82" t="s">
        <v>513</v>
      </c>
      <c r="D82">
        <v>70</v>
      </c>
      <c r="E82">
        <v>420</v>
      </c>
      <c r="F82">
        <v>43556</v>
      </c>
      <c r="G82">
        <v>478</v>
      </c>
      <c r="H82">
        <v>39</v>
      </c>
      <c r="I82">
        <v>35</v>
      </c>
      <c r="J82">
        <v>1</v>
      </c>
    </row>
    <row r="83" spans="1:10">
      <c r="A83" t="s">
        <v>28</v>
      </c>
      <c r="B83">
        <v>82</v>
      </c>
      <c r="C83" t="s">
        <v>514</v>
      </c>
      <c r="D83">
        <v>70</v>
      </c>
      <c r="E83">
        <v>420</v>
      </c>
      <c r="F83">
        <v>43556</v>
      </c>
      <c r="G83">
        <v>478</v>
      </c>
      <c r="H83">
        <v>39</v>
      </c>
      <c r="I83">
        <v>35</v>
      </c>
      <c r="J83">
        <v>1</v>
      </c>
    </row>
    <row r="84" spans="1:10">
      <c r="A84" t="s">
        <v>28</v>
      </c>
      <c r="B84">
        <v>83</v>
      </c>
      <c r="C84" t="s">
        <v>515</v>
      </c>
      <c r="D84">
        <v>72</v>
      </c>
      <c r="E84">
        <v>432</v>
      </c>
      <c r="F84">
        <v>44770</v>
      </c>
      <c r="G84">
        <v>501</v>
      </c>
      <c r="H84">
        <v>39</v>
      </c>
      <c r="I84">
        <v>36</v>
      </c>
      <c r="J84">
        <v>1</v>
      </c>
    </row>
    <row r="85" spans="1:10">
      <c r="A85" t="s">
        <v>28</v>
      </c>
      <c r="B85">
        <v>84</v>
      </c>
      <c r="C85" t="s">
        <v>516</v>
      </c>
      <c r="D85">
        <v>72</v>
      </c>
      <c r="E85">
        <v>432</v>
      </c>
      <c r="F85">
        <v>44770</v>
      </c>
      <c r="G85">
        <v>501</v>
      </c>
      <c r="H85">
        <v>39</v>
      </c>
      <c r="I85">
        <v>36</v>
      </c>
      <c r="J85">
        <v>1</v>
      </c>
    </row>
    <row r="86" spans="1:10">
      <c r="A86" t="s">
        <v>28</v>
      </c>
      <c r="B86">
        <v>85</v>
      </c>
      <c r="C86" t="s">
        <v>517</v>
      </c>
      <c r="D86">
        <v>74</v>
      </c>
      <c r="E86">
        <v>444</v>
      </c>
      <c r="F86">
        <v>46549</v>
      </c>
      <c r="G86">
        <v>519</v>
      </c>
      <c r="H86">
        <v>39</v>
      </c>
      <c r="I86">
        <v>37</v>
      </c>
      <c r="J86">
        <v>2</v>
      </c>
    </row>
    <row r="87" spans="1:10">
      <c r="A87" t="s">
        <v>28</v>
      </c>
      <c r="B87">
        <v>86</v>
      </c>
      <c r="C87" t="s">
        <v>518</v>
      </c>
      <c r="D87">
        <v>74</v>
      </c>
      <c r="E87">
        <v>444</v>
      </c>
      <c r="F87">
        <v>46549</v>
      </c>
      <c r="G87">
        <v>519</v>
      </c>
      <c r="H87">
        <v>39</v>
      </c>
      <c r="I87">
        <v>37</v>
      </c>
      <c r="J87">
        <v>2</v>
      </c>
    </row>
    <row r="88" spans="1:10">
      <c r="A88" t="s">
        <v>28</v>
      </c>
      <c r="B88">
        <v>87</v>
      </c>
      <c r="C88" t="s">
        <v>519</v>
      </c>
      <c r="D88">
        <v>76</v>
      </c>
      <c r="E88">
        <v>456</v>
      </c>
      <c r="F88">
        <v>47675</v>
      </c>
      <c r="G88">
        <v>527</v>
      </c>
      <c r="H88">
        <v>41</v>
      </c>
      <c r="I88">
        <v>38</v>
      </c>
      <c r="J88">
        <v>2</v>
      </c>
    </row>
    <row r="89" spans="1:10">
      <c r="A89" t="s">
        <v>28</v>
      </c>
      <c r="B89">
        <v>88</v>
      </c>
      <c r="C89" t="s">
        <v>520</v>
      </c>
      <c r="D89">
        <v>76</v>
      </c>
      <c r="E89">
        <v>456</v>
      </c>
      <c r="F89">
        <v>47675</v>
      </c>
      <c r="G89">
        <v>527</v>
      </c>
      <c r="H89">
        <v>41</v>
      </c>
      <c r="I89">
        <v>38</v>
      </c>
      <c r="J89">
        <v>2</v>
      </c>
    </row>
    <row r="90" spans="1:10">
      <c r="A90" t="s">
        <v>28</v>
      </c>
      <c r="B90">
        <v>89</v>
      </c>
      <c r="C90" t="s">
        <v>521</v>
      </c>
      <c r="D90">
        <v>76</v>
      </c>
      <c r="E90">
        <v>456</v>
      </c>
      <c r="F90">
        <v>47675</v>
      </c>
      <c r="G90">
        <v>527</v>
      </c>
      <c r="H90">
        <v>41</v>
      </c>
      <c r="I90">
        <v>38</v>
      </c>
      <c r="J90">
        <v>2</v>
      </c>
    </row>
    <row r="91" spans="1:10">
      <c r="A91" t="s">
        <v>28</v>
      </c>
      <c r="B91">
        <v>90</v>
      </c>
      <c r="C91" t="s">
        <v>522</v>
      </c>
      <c r="D91">
        <v>78</v>
      </c>
      <c r="E91">
        <v>468</v>
      </c>
      <c r="F91">
        <v>48951</v>
      </c>
      <c r="G91">
        <v>527</v>
      </c>
      <c r="H91">
        <v>43</v>
      </c>
      <c r="I91">
        <v>39</v>
      </c>
      <c r="J91">
        <v>2</v>
      </c>
    </row>
    <row r="92" spans="1:10">
      <c r="A92" t="s">
        <v>29</v>
      </c>
      <c r="B92">
        <v>1</v>
      </c>
      <c r="C92" t="s">
        <v>433</v>
      </c>
      <c r="D92">
        <v>2</v>
      </c>
      <c r="E92">
        <v>12</v>
      </c>
      <c r="F92">
        <v>1409</v>
      </c>
      <c r="G92">
        <v>82</v>
      </c>
      <c r="H92">
        <v>1</v>
      </c>
      <c r="I92">
        <v>1</v>
      </c>
      <c r="J92">
        <v>0</v>
      </c>
    </row>
    <row r="93" spans="1:10">
      <c r="A93" t="s">
        <v>29</v>
      </c>
      <c r="B93">
        <v>2</v>
      </c>
      <c r="C93" t="s">
        <v>434</v>
      </c>
      <c r="D93">
        <v>2</v>
      </c>
      <c r="E93">
        <v>12</v>
      </c>
      <c r="F93">
        <v>1409</v>
      </c>
      <c r="G93">
        <v>82</v>
      </c>
      <c r="H93">
        <v>1</v>
      </c>
      <c r="I93">
        <v>1</v>
      </c>
      <c r="J93">
        <v>0</v>
      </c>
    </row>
    <row r="94" spans="1:10">
      <c r="A94" t="s">
        <v>29</v>
      </c>
      <c r="B94">
        <v>3</v>
      </c>
      <c r="C94" t="s">
        <v>435</v>
      </c>
      <c r="D94">
        <v>4</v>
      </c>
      <c r="E94">
        <v>24</v>
      </c>
      <c r="F94">
        <v>2450</v>
      </c>
      <c r="G94">
        <v>84</v>
      </c>
      <c r="H94">
        <v>4</v>
      </c>
      <c r="I94">
        <v>2</v>
      </c>
      <c r="J94">
        <v>0</v>
      </c>
    </row>
    <row r="95" spans="1:10">
      <c r="A95" t="s">
        <v>29</v>
      </c>
      <c r="B95">
        <v>4</v>
      </c>
      <c r="C95" t="s">
        <v>436</v>
      </c>
      <c r="D95">
        <v>4</v>
      </c>
      <c r="E95">
        <v>24</v>
      </c>
      <c r="F95">
        <v>2450</v>
      </c>
      <c r="G95">
        <v>84</v>
      </c>
      <c r="H95">
        <v>4</v>
      </c>
      <c r="I95">
        <v>2</v>
      </c>
      <c r="J95">
        <v>0</v>
      </c>
    </row>
    <row r="96" spans="1:10">
      <c r="A96" t="s">
        <v>29</v>
      </c>
      <c r="B96">
        <v>5</v>
      </c>
      <c r="C96" t="s">
        <v>437</v>
      </c>
      <c r="D96">
        <v>6</v>
      </c>
      <c r="E96">
        <v>36</v>
      </c>
      <c r="F96">
        <v>4075</v>
      </c>
      <c r="G96">
        <v>119</v>
      </c>
      <c r="H96">
        <v>5</v>
      </c>
      <c r="I96">
        <v>3</v>
      </c>
      <c r="J96">
        <v>0</v>
      </c>
    </row>
    <row r="97" spans="1:10">
      <c r="A97" t="s">
        <v>29</v>
      </c>
      <c r="B97">
        <v>6</v>
      </c>
      <c r="C97" t="s">
        <v>438</v>
      </c>
      <c r="D97">
        <v>6</v>
      </c>
      <c r="E97">
        <v>36</v>
      </c>
      <c r="F97">
        <v>4075</v>
      </c>
      <c r="G97">
        <v>119</v>
      </c>
      <c r="H97">
        <v>5</v>
      </c>
      <c r="I97">
        <v>3</v>
      </c>
      <c r="J97">
        <v>0</v>
      </c>
    </row>
    <row r="98" spans="1:10">
      <c r="A98" t="s">
        <v>29</v>
      </c>
      <c r="B98">
        <v>7</v>
      </c>
      <c r="C98" t="s">
        <v>439</v>
      </c>
      <c r="D98">
        <v>8</v>
      </c>
      <c r="E98">
        <v>48</v>
      </c>
      <c r="F98">
        <v>5385</v>
      </c>
      <c r="G98">
        <v>121</v>
      </c>
      <c r="H98">
        <v>7</v>
      </c>
      <c r="I98">
        <v>4</v>
      </c>
      <c r="J98">
        <v>0</v>
      </c>
    </row>
    <row r="99" spans="1:10">
      <c r="A99" t="s">
        <v>29</v>
      </c>
      <c r="B99">
        <v>8</v>
      </c>
      <c r="C99" t="s">
        <v>440</v>
      </c>
      <c r="D99">
        <v>10</v>
      </c>
      <c r="E99">
        <v>60</v>
      </c>
      <c r="F99">
        <v>6961</v>
      </c>
      <c r="G99">
        <v>136</v>
      </c>
      <c r="H99">
        <v>9</v>
      </c>
      <c r="I99">
        <v>5</v>
      </c>
      <c r="J99">
        <v>0</v>
      </c>
    </row>
    <row r="100" spans="1:10">
      <c r="A100" t="s">
        <v>29</v>
      </c>
      <c r="B100">
        <v>9</v>
      </c>
      <c r="C100" t="s">
        <v>441</v>
      </c>
      <c r="D100">
        <v>10</v>
      </c>
      <c r="E100">
        <v>60</v>
      </c>
      <c r="F100">
        <v>6961</v>
      </c>
      <c r="G100">
        <v>136</v>
      </c>
      <c r="H100">
        <v>9</v>
      </c>
      <c r="I100">
        <v>5</v>
      </c>
      <c r="J100">
        <v>0</v>
      </c>
    </row>
    <row r="101" spans="1:10">
      <c r="A101" t="s">
        <v>29</v>
      </c>
      <c r="B101">
        <v>10</v>
      </c>
      <c r="C101" t="s">
        <v>442</v>
      </c>
      <c r="D101">
        <v>12</v>
      </c>
      <c r="E101">
        <v>72</v>
      </c>
      <c r="F101">
        <v>9034</v>
      </c>
      <c r="G101">
        <v>166</v>
      </c>
      <c r="H101">
        <v>11</v>
      </c>
      <c r="I101">
        <v>6</v>
      </c>
      <c r="J101">
        <v>0</v>
      </c>
    </row>
    <row r="102" spans="1:10">
      <c r="A102" t="s">
        <v>29</v>
      </c>
      <c r="B102">
        <v>11</v>
      </c>
      <c r="C102" t="s">
        <v>443</v>
      </c>
      <c r="D102">
        <v>12</v>
      </c>
      <c r="E102">
        <v>72</v>
      </c>
      <c r="F102">
        <v>9034</v>
      </c>
      <c r="G102">
        <v>166</v>
      </c>
      <c r="H102">
        <v>11</v>
      </c>
      <c r="I102">
        <v>6</v>
      </c>
      <c r="J102">
        <v>0</v>
      </c>
    </row>
    <row r="103" spans="1:10">
      <c r="A103" t="s">
        <v>29</v>
      </c>
      <c r="B103">
        <v>12</v>
      </c>
      <c r="C103" t="s">
        <v>444</v>
      </c>
      <c r="D103">
        <v>14</v>
      </c>
      <c r="E103">
        <v>84</v>
      </c>
      <c r="F103">
        <v>11073</v>
      </c>
      <c r="G103">
        <v>211</v>
      </c>
      <c r="H103">
        <v>12</v>
      </c>
      <c r="I103">
        <v>7</v>
      </c>
      <c r="J103">
        <v>0</v>
      </c>
    </row>
    <row r="104" spans="1:10">
      <c r="A104" t="s">
        <v>29</v>
      </c>
      <c r="B104">
        <v>13</v>
      </c>
      <c r="C104" t="s">
        <v>445</v>
      </c>
      <c r="D104">
        <v>14</v>
      </c>
      <c r="E104">
        <v>84</v>
      </c>
      <c r="F104">
        <v>11073</v>
      </c>
      <c r="G104">
        <v>211</v>
      </c>
      <c r="H104">
        <v>12</v>
      </c>
      <c r="I104">
        <v>7</v>
      </c>
      <c r="J104">
        <v>0</v>
      </c>
    </row>
    <row r="105" spans="1:10">
      <c r="A105" t="s">
        <v>29</v>
      </c>
      <c r="B105">
        <v>14</v>
      </c>
      <c r="C105" t="s">
        <v>446</v>
      </c>
      <c r="D105">
        <v>16</v>
      </c>
      <c r="E105">
        <v>96</v>
      </c>
      <c r="F105">
        <v>12342</v>
      </c>
      <c r="G105">
        <v>231</v>
      </c>
      <c r="H105">
        <v>13</v>
      </c>
      <c r="I105">
        <v>8</v>
      </c>
      <c r="J105">
        <v>0</v>
      </c>
    </row>
    <row r="106" spans="1:10">
      <c r="A106" t="s">
        <v>29</v>
      </c>
      <c r="B106">
        <v>15</v>
      </c>
      <c r="C106" t="s">
        <v>447</v>
      </c>
      <c r="D106">
        <v>18</v>
      </c>
      <c r="E106">
        <v>108</v>
      </c>
      <c r="F106">
        <v>14397</v>
      </c>
      <c r="G106">
        <v>243</v>
      </c>
      <c r="H106">
        <v>15</v>
      </c>
      <c r="I106">
        <v>9</v>
      </c>
      <c r="J106">
        <v>0</v>
      </c>
    </row>
    <row r="107" spans="1:10">
      <c r="A107" t="s">
        <v>29</v>
      </c>
      <c r="B107">
        <v>16</v>
      </c>
      <c r="C107" t="s">
        <v>448</v>
      </c>
      <c r="D107">
        <v>18</v>
      </c>
      <c r="E107">
        <v>108</v>
      </c>
      <c r="F107">
        <v>14397</v>
      </c>
      <c r="G107">
        <v>243</v>
      </c>
      <c r="H107">
        <v>15</v>
      </c>
      <c r="I107">
        <v>9</v>
      </c>
      <c r="J107">
        <v>0</v>
      </c>
    </row>
    <row r="108" spans="1:10">
      <c r="A108" t="s">
        <v>29</v>
      </c>
      <c r="B108">
        <v>17</v>
      </c>
      <c r="C108" t="s">
        <v>449</v>
      </c>
      <c r="D108">
        <v>20</v>
      </c>
      <c r="E108">
        <v>120</v>
      </c>
      <c r="F108">
        <v>16170</v>
      </c>
      <c r="G108">
        <v>256</v>
      </c>
      <c r="H108">
        <v>18</v>
      </c>
      <c r="I108">
        <v>10</v>
      </c>
      <c r="J108">
        <v>0</v>
      </c>
    </row>
    <row r="109" spans="1:10">
      <c r="A109" t="s">
        <v>29</v>
      </c>
      <c r="B109">
        <v>18</v>
      </c>
      <c r="C109" t="s">
        <v>450</v>
      </c>
      <c r="D109">
        <v>20</v>
      </c>
      <c r="E109">
        <v>120</v>
      </c>
      <c r="F109">
        <v>16170</v>
      </c>
      <c r="G109">
        <v>256</v>
      </c>
      <c r="H109">
        <v>18</v>
      </c>
      <c r="I109">
        <v>10</v>
      </c>
      <c r="J109">
        <v>0</v>
      </c>
    </row>
    <row r="110" spans="1:10">
      <c r="A110" t="s">
        <v>29</v>
      </c>
      <c r="B110">
        <v>19</v>
      </c>
      <c r="C110" t="s">
        <v>451</v>
      </c>
      <c r="D110">
        <v>22</v>
      </c>
      <c r="E110">
        <v>132</v>
      </c>
      <c r="F110">
        <v>19266</v>
      </c>
      <c r="G110">
        <v>281</v>
      </c>
      <c r="H110">
        <v>20</v>
      </c>
      <c r="I110">
        <v>11</v>
      </c>
      <c r="J110">
        <v>1</v>
      </c>
    </row>
    <row r="111" spans="1:10">
      <c r="A111" t="s">
        <v>29</v>
      </c>
      <c r="B111">
        <v>20</v>
      </c>
      <c r="C111" t="s">
        <v>452</v>
      </c>
      <c r="D111">
        <v>22</v>
      </c>
      <c r="E111">
        <v>132</v>
      </c>
      <c r="F111">
        <v>19266</v>
      </c>
      <c r="G111">
        <v>281</v>
      </c>
      <c r="H111">
        <v>20</v>
      </c>
      <c r="I111">
        <v>11</v>
      </c>
      <c r="J111">
        <v>1</v>
      </c>
    </row>
    <row r="112" spans="1:10">
      <c r="A112" t="s">
        <v>29</v>
      </c>
      <c r="B112">
        <v>21</v>
      </c>
      <c r="C112" t="s">
        <v>453</v>
      </c>
      <c r="D112">
        <v>24</v>
      </c>
      <c r="E112">
        <v>144</v>
      </c>
      <c r="F112">
        <v>21468</v>
      </c>
      <c r="G112">
        <v>313</v>
      </c>
      <c r="H112">
        <v>23</v>
      </c>
      <c r="I112">
        <v>12</v>
      </c>
      <c r="J112">
        <v>1</v>
      </c>
    </row>
    <row r="113" spans="1:10">
      <c r="A113" t="s">
        <v>29</v>
      </c>
      <c r="B113">
        <v>22</v>
      </c>
      <c r="C113" t="s">
        <v>454</v>
      </c>
      <c r="D113">
        <v>26</v>
      </c>
      <c r="E113">
        <v>156</v>
      </c>
      <c r="F113">
        <v>22707</v>
      </c>
      <c r="G113">
        <v>316</v>
      </c>
      <c r="H113">
        <v>24</v>
      </c>
      <c r="I113">
        <v>13</v>
      </c>
      <c r="J113">
        <v>1</v>
      </c>
    </row>
    <row r="114" spans="1:10">
      <c r="A114" t="s">
        <v>29</v>
      </c>
      <c r="B114">
        <v>23</v>
      </c>
      <c r="C114" t="s">
        <v>455</v>
      </c>
      <c r="D114">
        <v>26</v>
      </c>
      <c r="E114">
        <v>156</v>
      </c>
      <c r="F114">
        <v>22707</v>
      </c>
      <c r="G114">
        <v>316</v>
      </c>
      <c r="H114">
        <v>24</v>
      </c>
      <c r="I114">
        <v>13</v>
      </c>
      <c r="J114">
        <v>1</v>
      </c>
    </row>
    <row r="115" spans="1:10">
      <c r="A115" t="s">
        <v>29</v>
      </c>
      <c r="B115">
        <v>24</v>
      </c>
      <c r="C115" t="s">
        <v>456</v>
      </c>
      <c r="D115">
        <v>28</v>
      </c>
      <c r="E115">
        <v>168</v>
      </c>
      <c r="F115">
        <v>24631</v>
      </c>
      <c r="G115">
        <v>349</v>
      </c>
      <c r="H115">
        <v>27</v>
      </c>
      <c r="I115">
        <v>14</v>
      </c>
      <c r="J115">
        <v>1</v>
      </c>
    </row>
    <row r="116" spans="1:10">
      <c r="A116" t="s">
        <v>29</v>
      </c>
      <c r="B116">
        <v>25</v>
      </c>
      <c r="C116" t="s">
        <v>457</v>
      </c>
      <c r="D116">
        <v>28</v>
      </c>
      <c r="E116">
        <v>168</v>
      </c>
      <c r="F116">
        <v>24631</v>
      </c>
      <c r="G116">
        <v>349</v>
      </c>
      <c r="H116">
        <v>27</v>
      </c>
      <c r="I116">
        <v>14</v>
      </c>
      <c r="J116">
        <v>1</v>
      </c>
    </row>
    <row r="117" spans="1:10">
      <c r="A117" t="s">
        <v>29</v>
      </c>
      <c r="B117">
        <v>26</v>
      </c>
      <c r="C117" t="s">
        <v>458</v>
      </c>
      <c r="D117">
        <v>30</v>
      </c>
      <c r="E117">
        <v>180</v>
      </c>
      <c r="F117">
        <v>26572</v>
      </c>
      <c r="G117">
        <v>382</v>
      </c>
      <c r="H117">
        <v>28</v>
      </c>
      <c r="I117">
        <v>15</v>
      </c>
      <c r="J117">
        <v>1</v>
      </c>
    </row>
    <row r="118" spans="1:10">
      <c r="A118" t="s">
        <v>29</v>
      </c>
      <c r="B118">
        <v>27</v>
      </c>
      <c r="C118" t="s">
        <v>459</v>
      </c>
      <c r="D118">
        <v>30</v>
      </c>
      <c r="E118">
        <v>180</v>
      </c>
      <c r="F118">
        <v>26572</v>
      </c>
      <c r="G118">
        <v>382</v>
      </c>
      <c r="H118">
        <v>28</v>
      </c>
      <c r="I118">
        <v>15</v>
      </c>
      <c r="J118">
        <v>1</v>
      </c>
    </row>
    <row r="119" spans="1:10">
      <c r="A119" t="s">
        <v>29</v>
      </c>
      <c r="B119">
        <v>28</v>
      </c>
      <c r="C119" t="s">
        <v>460</v>
      </c>
      <c r="D119">
        <v>32</v>
      </c>
      <c r="E119">
        <v>192</v>
      </c>
      <c r="F119">
        <v>28029</v>
      </c>
      <c r="G119">
        <v>384</v>
      </c>
      <c r="H119">
        <v>30</v>
      </c>
      <c r="I119">
        <v>16</v>
      </c>
      <c r="J119">
        <v>1</v>
      </c>
    </row>
    <row r="120" spans="1:10">
      <c r="A120" t="s">
        <v>29</v>
      </c>
      <c r="B120">
        <v>29</v>
      </c>
      <c r="C120" t="s">
        <v>461</v>
      </c>
      <c r="D120">
        <v>34</v>
      </c>
      <c r="E120">
        <v>204</v>
      </c>
      <c r="F120">
        <v>29844</v>
      </c>
      <c r="G120">
        <v>409</v>
      </c>
      <c r="H120">
        <v>30</v>
      </c>
      <c r="I120">
        <v>17</v>
      </c>
      <c r="J120">
        <v>1</v>
      </c>
    </row>
    <row r="121" spans="1:10">
      <c r="A121" t="s">
        <v>29</v>
      </c>
      <c r="B121">
        <v>30</v>
      </c>
      <c r="C121" t="s">
        <v>462</v>
      </c>
      <c r="D121">
        <v>34</v>
      </c>
      <c r="E121">
        <v>204</v>
      </c>
      <c r="F121">
        <v>29844</v>
      </c>
      <c r="G121">
        <v>409</v>
      </c>
      <c r="H121">
        <v>30</v>
      </c>
      <c r="I121">
        <v>17</v>
      </c>
      <c r="J121">
        <v>1</v>
      </c>
    </row>
    <row r="122" spans="1:10">
      <c r="A122" t="s">
        <v>29</v>
      </c>
      <c r="B122">
        <v>31</v>
      </c>
      <c r="C122" t="s">
        <v>463</v>
      </c>
      <c r="D122">
        <v>36</v>
      </c>
      <c r="E122">
        <v>216</v>
      </c>
      <c r="F122">
        <v>32303</v>
      </c>
      <c r="G122">
        <v>451</v>
      </c>
      <c r="H122">
        <v>32</v>
      </c>
      <c r="I122">
        <v>18</v>
      </c>
      <c r="J122">
        <v>1</v>
      </c>
    </row>
    <row r="123" spans="1:10">
      <c r="A123" t="s">
        <v>29</v>
      </c>
      <c r="B123">
        <v>32</v>
      </c>
      <c r="C123" t="s">
        <v>464</v>
      </c>
      <c r="D123">
        <v>36</v>
      </c>
      <c r="E123">
        <v>216</v>
      </c>
      <c r="F123">
        <v>32303</v>
      </c>
      <c r="G123">
        <v>451</v>
      </c>
      <c r="H123">
        <v>32</v>
      </c>
      <c r="I123">
        <v>18</v>
      </c>
      <c r="J123">
        <v>1</v>
      </c>
    </row>
    <row r="124" spans="1:10">
      <c r="A124" t="s">
        <v>29</v>
      </c>
      <c r="B124">
        <v>33</v>
      </c>
      <c r="C124" t="s">
        <v>465</v>
      </c>
      <c r="D124">
        <v>38</v>
      </c>
      <c r="E124">
        <v>228</v>
      </c>
      <c r="F124">
        <v>33982</v>
      </c>
      <c r="G124">
        <v>461</v>
      </c>
      <c r="H124">
        <v>35</v>
      </c>
      <c r="I124">
        <v>19</v>
      </c>
      <c r="J124">
        <v>1</v>
      </c>
    </row>
    <row r="125" spans="1:10">
      <c r="A125" t="s">
        <v>29</v>
      </c>
      <c r="B125">
        <v>34</v>
      </c>
      <c r="C125" t="s">
        <v>466</v>
      </c>
      <c r="D125">
        <v>38</v>
      </c>
      <c r="E125">
        <v>228</v>
      </c>
      <c r="F125">
        <v>33982</v>
      </c>
      <c r="G125">
        <v>461</v>
      </c>
      <c r="H125">
        <v>35</v>
      </c>
      <c r="I125">
        <v>19</v>
      </c>
      <c r="J125">
        <v>1</v>
      </c>
    </row>
    <row r="126" spans="1:10">
      <c r="A126" t="s">
        <v>29</v>
      </c>
      <c r="B126">
        <v>35</v>
      </c>
      <c r="C126" t="s">
        <v>467</v>
      </c>
      <c r="D126">
        <v>40</v>
      </c>
      <c r="E126">
        <v>240</v>
      </c>
      <c r="F126">
        <v>36460</v>
      </c>
      <c r="G126">
        <v>476</v>
      </c>
      <c r="H126">
        <v>37</v>
      </c>
      <c r="I126">
        <v>20</v>
      </c>
      <c r="J126">
        <v>1</v>
      </c>
    </row>
    <row r="127" spans="1:10">
      <c r="A127" t="s">
        <v>29</v>
      </c>
      <c r="B127">
        <v>36</v>
      </c>
      <c r="C127" t="s">
        <v>468</v>
      </c>
      <c r="D127">
        <v>42</v>
      </c>
      <c r="E127">
        <v>252</v>
      </c>
      <c r="F127">
        <v>37912</v>
      </c>
      <c r="G127">
        <v>499</v>
      </c>
      <c r="H127">
        <v>38</v>
      </c>
      <c r="I127">
        <v>21</v>
      </c>
      <c r="J127">
        <v>1</v>
      </c>
    </row>
    <row r="128" spans="1:10">
      <c r="A128" t="s">
        <v>29</v>
      </c>
      <c r="B128">
        <v>37</v>
      </c>
      <c r="C128" t="s">
        <v>469</v>
      </c>
      <c r="D128">
        <v>42</v>
      </c>
      <c r="E128">
        <v>252</v>
      </c>
      <c r="F128">
        <v>37912</v>
      </c>
      <c r="G128">
        <v>499</v>
      </c>
      <c r="H128">
        <v>38</v>
      </c>
      <c r="I128">
        <v>21</v>
      </c>
      <c r="J128">
        <v>1</v>
      </c>
    </row>
    <row r="129" spans="1:10">
      <c r="A129" t="s">
        <v>29</v>
      </c>
      <c r="B129">
        <v>38</v>
      </c>
      <c r="C129" t="s">
        <v>470</v>
      </c>
      <c r="D129">
        <v>44</v>
      </c>
      <c r="E129">
        <v>264</v>
      </c>
      <c r="F129">
        <v>40262</v>
      </c>
      <c r="G129">
        <v>519</v>
      </c>
      <c r="H129">
        <v>40</v>
      </c>
      <c r="I129">
        <v>22</v>
      </c>
      <c r="J129">
        <v>2</v>
      </c>
    </row>
    <row r="130" spans="1:10">
      <c r="A130" t="s">
        <v>29</v>
      </c>
      <c r="B130">
        <v>39</v>
      </c>
      <c r="C130" t="s">
        <v>471</v>
      </c>
      <c r="D130">
        <v>44</v>
      </c>
      <c r="E130">
        <v>264</v>
      </c>
      <c r="F130">
        <v>40262</v>
      </c>
      <c r="G130">
        <v>519</v>
      </c>
      <c r="H130">
        <v>40</v>
      </c>
      <c r="I130">
        <v>22</v>
      </c>
      <c r="J130">
        <v>2</v>
      </c>
    </row>
    <row r="131" spans="1:10">
      <c r="A131" t="s">
        <v>29</v>
      </c>
      <c r="B131">
        <v>40</v>
      </c>
      <c r="C131" t="s">
        <v>472</v>
      </c>
      <c r="D131">
        <v>46</v>
      </c>
      <c r="E131">
        <v>276</v>
      </c>
      <c r="F131">
        <v>41765</v>
      </c>
      <c r="G131">
        <v>529</v>
      </c>
      <c r="H131">
        <v>41</v>
      </c>
      <c r="I131">
        <v>23</v>
      </c>
      <c r="J131">
        <v>2</v>
      </c>
    </row>
    <row r="132" spans="1:10">
      <c r="A132" t="s">
        <v>29</v>
      </c>
      <c r="B132">
        <v>41</v>
      </c>
      <c r="C132" t="s">
        <v>473</v>
      </c>
      <c r="D132">
        <v>46</v>
      </c>
      <c r="E132">
        <v>276</v>
      </c>
      <c r="F132">
        <v>41765</v>
      </c>
      <c r="G132">
        <v>529</v>
      </c>
      <c r="H132">
        <v>41</v>
      </c>
      <c r="I132">
        <v>23</v>
      </c>
      <c r="J132">
        <v>2</v>
      </c>
    </row>
    <row r="133" spans="1:10">
      <c r="A133" t="s">
        <v>29</v>
      </c>
      <c r="B133">
        <v>42</v>
      </c>
      <c r="C133" t="s">
        <v>474</v>
      </c>
      <c r="D133">
        <v>48</v>
      </c>
      <c r="E133">
        <v>288</v>
      </c>
      <c r="F133">
        <v>42629</v>
      </c>
      <c r="G133">
        <v>534</v>
      </c>
      <c r="H133">
        <v>42</v>
      </c>
      <c r="I133">
        <v>24</v>
      </c>
      <c r="J133">
        <v>2</v>
      </c>
    </row>
    <row r="134" spans="1:10">
      <c r="A134" t="s">
        <v>29</v>
      </c>
      <c r="B134">
        <v>43</v>
      </c>
      <c r="C134" t="s">
        <v>475</v>
      </c>
      <c r="D134">
        <v>50</v>
      </c>
      <c r="E134">
        <v>300</v>
      </c>
      <c r="F134">
        <v>44278</v>
      </c>
      <c r="G134">
        <v>541</v>
      </c>
      <c r="H134">
        <v>44</v>
      </c>
      <c r="I134">
        <v>25</v>
      </c>
      <c r="J134">
        <v>2</v>
      </c>
    </row>
    <row r="135" spans="1:10">
      <c r="A135" t="s">
        <v>29</v>
      </c>
      <c r="B135">
        <v>44</v>
      </c>
      <c r="C135" t="s">
        <v>476</v>
      </c>
      <c r="D135">
        <v>50</v>
      </c>
      <c r="E135">
        <v>300</v>
      </c>
      <c r="F135">
        <v>44278</v>
      </c>
      <c r="G135">
        <v>541</v>
      </c>
      <c r="H135">
        <v>44</v>
      </c>
      <c r="I135">
        <v>25</v>
      </c>
      <c r="J135">
        <v>2</v>
      </c>
    </row>
    <row r="136" spans="1:10">
      <c r="A136" t="s">
        <v>29</v>
      </c>
      <c r="B136">
        <v>45</v>
      </c>
      <c r="C136" t="s">
        <v>477</v>
      </c>
      <c r="D136">
        <v>52</v>
      </c>
      <c r="E136">
        <v>312</v>
      </c>
      <c r="F136">
        <v>46457</v>
      </c>
      <c r="G136">
        <v>556</v>
      </c>
      <c r="H136">
        <v>47</v>
      </c>
      <c r="I136">
        <v>26</v>
      </c>
      <c r="J136">
        <v>2</v>
      </c>
    </row>
    <row r="137" spans="1:10">
      <c r="A137" t="s">
        <v>29</v>
      </c>
      <c r="B137">
        <v>46</v>
      </c>
      <c r="C137" t="s">
        <v>478</v>
      </c>
      <c r="D137">
        <v>52</v>
      </c>
      <c r="E137">
        <v>312</v>
      </c>
      <c r="F137">
        <v>46457</v>
      </c>
      <c r="G137">
        <v>556</v>
      </c>
      <c r="H137">
        <v>47</v>
      </c>
      <c r="I137">
        <v>26</v>
      </c>
      <c r="J137">
        <v>2</v>
      </c>
    </row>
    <row r="138" spans="1:10">
      <c r="A138" t="s">
        <v>29</v>
      </c>
      <c r="B138">
        <v>47</v>
      </c>
      <c r="C138" t="s">
        <v>479</v>
      </c>
      <c r="D138">
        <v>54</v>
      </c>
      <c r="E138">
        <v>324</v>
      </c>
      <c r="F138">
        <v>49029</v>
      </c>
      <c r="G138">
        <v>589</v>
      </c>
      <c r="H138">
        <v>49</v>
      </c>
      <c r="I138">
        <v>27</v>
      </c>
      <c r="J138">
        <v>2</v>
      </c>
    </row>
    <row r="139" spans="1:10">
      <c r="A139" t="s">
        <v>29</v>
      </c>
      <c r="B139">
        <v>48</v>
      </c>
      <c r="C139" t="s">
        <v>480</v>
      </c>
      <c r="D139">
        <v>54</v>
      </c>
      <c r="E139">
        <v>324</v>
      </c>
      <c r="F139">
        <v>49029</v>
      </c>
      <c r="G139">
        <v>589</v>
      </c>
      <c r="H139">
        <v>49</v>
      </c>
      <c r="I139">
        <v>27</v>
      </c>
      <c r="J139">
        <v>2</v>
      </c>
    </row>
    <row r="140" spans="1:10">
      <c r="A140" t="s">
        <v>29</v>
      </c>
      <c r="B140">
        <v>49</v>
      </c>
      <c r="C140" t="s">
        <v>481</v>
      </c>
      <c r="D140">
        <v>56</v>
      </c>
      <c r="E140">
        <v>336</v>
      </c>
      <c r="F140">
        <v>52172</v>
      </c>
      <c r="G140">
        <v>629</v>
      </c>
      <c r="H140">
        <v>49</v>
      </c>
      <c r="I140">
        <v>28</v>
      </c>
      <c r="J140">
        <v>2</v>
      </c>
    </row>
    <row r="141" spans="1:10">
      <c r="A141" t="s">
        <v>29</v>
      </c>
      <c r="B141">
        <v>50</v>
      </c>
      <c r="C141" t="s">
        <v>482</v>
      </c>
      <c r="D141">
        <v>58</v>
      </c>
      <c r="E141">
        <v>348</v>
      </c>
      <c r="F141">
        <v>53131</v>
      </c>
      <c r="G141">
        <v>631</v>
      </c>
      <c r="H141">
        <v>50</v>
      </c>
      <c r="I141">
        <v>29</v>
      </c>
      <c r="J141">
        <v>2</v>
      </c>
    </row>
    <row r="142" spans="1:10">
      <c r="A142" t="s">
        <v>29</v>
      </c>
      <c r="B142">
        <v>51</v>
      </c>
      <c r="C142" t="s">
        <v>483</v>
      </c>
      <c r="D142">
        <v>58</v>
      </c>
      <c r="E142">
        <v>348</v>
      </c>
      <c r="F142">
        <v>53131</v>
      </c>
      <c r="G142">
        <v>631</v>
      </c>
      <c r="H142">
        <v>50</v>
      </c>
      <c r="I142">
        <v>29</v>
      </c>
      <c r="J142">
        <v>2</v>
      </c>
    </row>
    <row r="143" spans="1:10">
      <c r="A143" t="s">
        <v>29</v>
      </c>
      <c r="B143">
        <v>52</v>
      </c>
      <c r="C143" t="s">
        <v>484</v>
      </c>
      <c r="D143">
        <v>60</v>
      </c>
      <c r="E143">
        <v>360</v>
      </c>
      <c r="F143">
        <v>54847</v>
      </c>
      <c r="G143">
        <v>636</v>
      </c>
      <c r="H143">
        <v>52</v>
      </c>
      <c r="I143">
        <v>30</v>
      </c>
      <c r="J143">
        <v>2</v>
      </c>
    </row>
    <row r="144" spans="1:10">
      <c r="A144" t="s">
        <v>29</v>
      </c>
      <c r="B144">
        <v>53</v>
      </c>
      <c r="C144" t="s">
        <v>485</v>
      </c>
      <c r="D144">
        <v>60</v>
      </c>
      <c r="E144">
        <v>360</v>
      </c>
      <c r="F144">
        <v>54847</v>
      </c>
      <c r="G144">
        <v>636</v>
      </c>
      <c r="H144">
        <v>52</v>
      </c>
      <c r="I144">
        <v>30</v>
      </c>
      <c r="J144">
        <v>2</v>
      </c>
    </row>
    <row r="145" spans="1:10">
      <c r="A145" t="s">
        <v>29</v>
      </c>
      <c r="B145">
        <v>54</v>
      </c>
      <c r="C145" t="s">
        <v>486</v>
      </c>
      <c r="D145">
        <v>62</v>
      </c>
      <c r="E145">
        <v>372</v>
      </c>
      <c r="F145">
        <v>56440</v>
      </c>
      <c r="G145">
        <v>654</v>
      </c>
      <c r="H145">
        <v>53</v>
      </c>
      <c r="I145">
        <v>31</v>
      </c>
      <c r="J145">
        <v>2</v>
      </c>
    </row>
    <row r="146" spans="1:10">
      <c r="A146" t="s">
        <v>29</v>
      </c>
      <c r="B146">
        <v>55</v>
      </c>
      <c r="C146" t="s">
        <v>487</v>
      </c>
      <c r="D146">
        <v>62</v>
      </c>
      <c r="E146">
        <v>372</v>
      </c>
      <c r="F146">
        <v>56440</v>
      </c>
      <c r="G146">
        <v>654</v>
      </c>
      <c r="H146">
        <v>53</v>
      </c>
      <c r="I146">
        <v>31</v>
      </c>
      <c r="J146">
        <v>2</v>
      </c>
    </row>
    <row r="147" spans="1:10">
      <c r="A147" t="s">
        <v>29</v>
      </c>
      <c r="B147">
        <v>56</v>
      </c>
      <c r="C147" t="s">
        <v>488</v>
      </c>
      <c r="D147">
        <v>64</v>
      </c>
      <c r="E147">
        <v>384</v>
      </c>
      <c r="F147">
        <v>57811</v>
      </c>
      <c r="G147">
        <v>657</v>
      </c>
      <c r="H147">
        <v>54</v>
      </c>
      <c r="I147">
        <v>32</v>
      </c>
      <c r="J147">
        <v>2</v>
      </c>
    </row>
    <row r="148" spans="1:10">
      <c r="A148" t="s">
        <v>29</v>
      </c>
      <c r="B148">
        <v>57</v>
      </c>
      <c r="C148" t="s">
        <v>489</v>
      </c>
      <c r="D148">
        <v>66</v>
      </c>
      <c r="E148">
        <v>396</v>
      </c>
      <c r="F148">
        <v>62204</v>
      </c>
      <c r="G148">
        <v>675</v>
      </c>
      <c r="H148">
        <v>57</v>
      </c>
      <c r="I148">
        <v>33</v>
      </c>
      <c r="J148">
        <v>3</v>
      </c>
    </row>
    <row r="149" spans="1:10">
      <c r="A149" t="s">
        <v>29</v>
      </c>
      <c r="B149">
        <v>58</v>
      </c>
      <c r="C149" t="s">
        <v>490</v>
      </c>
      <c r="D149">
        <v>66</v>
      </c>
      <c r="E149">
        <v>396</v>
      </c>
      <c r="F149">
        <v>62204</v>
      </c>
      <c r="G149">
        <v>675</v>
      </c>
      <c r="H149">
        <v>57</v>
      </c>
      <c r="I149">
        <v>33</v>
      </c>
      <c r="J149">
        <v>3</v>
      </c>
    </row>
    <row r="150" spans="1:10">
      <c r="A150" t="s">
        <v>29</v>
      </c>
      <c r="B150">
        <v>59</v>
      </c>
      <c r="C150" t="s">
        <v>491</v>
      </c>
      <c r="D150">
        <v>68</v>
      </c>
      <c r="E150">
        <v>408</v>
      </c>
      <c r="F150">
        <v>64068</v>
      </c>
      <c r="G150">
        <v>680</v>
      </c>
      <c r="H150">
        <v>59</v>
      </c>
      <c r="I150">
        <v>34</v>
      </c>
      <c r="J150">
        <v>3</v>
      </c>
    </row>
    <row r="151" spans="1:10">
      <c r="A151" t="s">
        <v>29</v>
      </c>
      <c r="B151">
        <v>60</v>
      </c>
      <c r="C151" t="s">
        <v>492</v>
      </c>
      <c r="D151">
        <v>68</v>
      </c>
      <c r="E151">
        <v>408</v>
      </c>
      <c r="F151">
        <v>64068</v>
      </c>
      <c r="G151">
        <v>680</v>
      </c>
      <c r="H151">
        <v>59</v>
      </c>
      <c r="I151">
        <v>34</v>
      </c>
      <c r="J151">
        <v>3</v>
      </c>
    </row>
    <row r="152" spans="1:10">
      <c r="A152" t="s">
        <v>29</v>
      </c>
      <c r="B152">
        <v>61</v>
      </c>
      <c r="C152" t="s">
        <v>493</v>
      </c>
      <c r="D152">
        <v>70</v>
      </c>
      <c r="E152">
        <v>420</v>
      </c>
      <c r="F152">
        <v>65968</v>
      </c>
      <c r="G152">
        <v>711</v>
      </c>
      <c r="H152">
        <v>62</v>
      </c>
      <c r="I152">
        <v>35</v>
      </c>
      <c r="J152">
        <v>3</v>
      </c>
    </row>
    <row r="153" spans="1:10">
      <c r="A153" t="s">
        <v>29</v>
      </c>
      <c r="B153">
        <v>62</v>
      </c>
      <c r="C153" t="s">
        <v>494</v>
      </c>
      <c r="D153">
        <v>70</v>
      </c>
      <c r="E153">
        <v>420</v>
      </c>
      <c r="F153">
        <v>65968</v>
      </c>
      <c r="G153">
        <v>711</v>
      </c>
      <c r="H153">
        <v>62</v>
      </c>
      <c r="I153">
        <v>35</v>
      </c>
      <c r="J153">
        <v>3</v>
      </c>
    </row>
    <row r="154" spans="1:10">
      <c r="A154" t="s">
        <v>29</v>
      </c>
      <c r="B154">
        <v>63</v>
      </c>
      <c r="C154" t="s">
        <v>495</v>
      </c>
      <c r="D154">
        <v>72</v>
      </c>
      <c r="E154">
        <v>432</v>
      </c>
      <c r="F154">
        <v>68325</v>
      </c>
      <c r="G154">
        <v>736</v>
      </c>
      <c r="H154">
        <v>64</v>
      </c>
      <c r="I154">
        <v>36</v>
      </c>
      <c r="J154">
        <v>3</v>
      </c>
    </row>
    <row r="155" spans="1:10">
      <c r="A155" t="s">
        <v>29</v>
      </c>
      <c r="B155">
        <v>64</v>
      </c>
      <c r="C155" t="s">
        <v>496</v>
      </c>
      <c r="D155">
        <v>74</v>
      </c>
      <c r="E155">
        <v>444</v>
      </c>
      <c r="F155">
        <v>69851</v>
      </c>
      <c r="G155">
        <v>739</v>
      </c>
      <c r="H155">
        <v>66</v>
      </c>
      <c r="I155">
        <v>37</v>
      </c>
      <c r="J155">
        <v>3</v>
      </c>
    </row>
    <row r="156" spans="1:10">
      <c r="A156" t="s">
        <v>29</v>
      </c>
      <c r="B156">
        <v>65</v>
      </c>
      <c r="C156" t="s">
        <v>497</v>
      </c>
      <c r="D156">
        <v>74</v>
      </c>
      <c r="E156">
        <v>444</v>
      </c>
      <c r="F156">
        <v>69851</v>
      </c>
      <c r="G156">
        <v>739</v>
      </c>
      <c r="H156">
        <v>66</v>
      </c>
      <c r="I156">
        <v>37</v>
      </c>
      <c r="J156">
        <v>3</v>
      </c>
    </row>
    <row r="157" spans="1:10">
      <c r="A157" t="s">
        <v>29</v>
      </c>
      <c r="B157">
        <v>66</v>
      </c>
      <c r="C157" t="s">
        <v>498</v>
      </c>
      <c r="D157">
        <v>76</v>
      </c>
      <c r="E157">
        <v>456</v>
      </c>
      <c r="F157">
        <v>71003</v>
      </c>
      <c r="G157">
        <v>749</v>
      </c>
      <c r="H157">
        <v>68</v>
      </c>
      <c r="I157">
        <v>38</v>
      </c>
      <c r="J157">
        <v>3</v>
      </c>
    </row>
    <row r="158" spans="1:10">
      <c r="A158" t="s">
        <v>29</v>
      </c>
      <c r="B158">
        <v>67</v>
      </c>
      <c r="C158" t="s">
        <v>499</v>
      </c>
      <c r="D158">
        <v>76</v>
      </c>
      <c r="E158">
        <v>456</v>
      </c>
      <c r="F158">
        <v>71003</v>
      </c>
      <c r="G158">
        <v>749</v>
      </c>
      <c r="H158">
        <v>68</v>
      </c>
      <c r="I158">
        <v>38</v>
      </c>
      <c r="J158">
        <v>3</v>
      </c>
    </row>
    <row r="159" spans="1:10">
      <c r="A159" t="s">
        <v>29</v>
      </c>
      <c r="B159">
        <v>68</v>
      </c>
      <c r="C159" t="s">
        <v>500</v>
      </c>
      <c r="D159">
        <v>78</v>
      </c>
      <c r="E159">
        <v>468</v>
      </c>
      <c r="F159">
        <v>72087</v>
      </c>
      <c r="G159">
        <v>767</v>
      </c>
      <c r="H159">
        <v>68</v>
      </c>
      <c r="I159">
        <v>39</v>
      </c>
      <c r="J159">
        <v>3</v>
      </c>
    </row>
    <row r="160" spans="1:10">
      <c r="A160" t="s">
        <v>29</v>
      </c>
      <c r="B160">
        <v>69</v>
      </c>
      <c r="C160" t="s">
        <v>501</v>
      </c>
      <c r="D160">
        <v>78</v>
      </c>
      <c r="E160">
        <v>468</v>
      </c>
      <c r="F160">
        <v>72087</v>
      </c>
      <c r="G160">
        <v>767</v>
      </c>
      <c r="H160">
        <v>68</v>
      </c>
      <c r="I160">
        <v>39</v>
      </c>
      <c r="J160">
        <v>3</v>
      </c>
    </row>
    <row r="161" spans="1:10">
      <c r="A161" t="s">
        <v>29</v>
      </c>
      <c r="B161">
        <v>70</v>
      </c>
      <c r="C161" t="s">
        <v>502</v>
      </c>
      <c r="D161">
        <v>80</v>
      </c>
      <c r="E161">
        <v>480</v>
      </c>
      <c r="F161">
        <v>74142</v>
      </c>
      <c r="G161">
        <v>780</v>
      </c>
      <c r="H161">
        <v>72</v>
      </c>
      <c r="I161">
        <v>40</v>
      </c>
      <c r="J161">
        <v>3</v>
      </c>
    </row>
    <row r="162" spans="1:10">
      <c r="A162" t="s">
        <v>29</v>
      </c>
      <c r="B162">
        <v>71</v>
      </c>
      <c r="C162" t="s">
        <v>503</v>
      </c>
      <c r="D162">
        <v>82</v>
      </c>
      <c r="E162">
        <v>492</v>
      </c>
      <c r="F162">
        <v>75066</v>
      </c>
      <c r="G162">
        <v>780</v>
      </c>
      <c r="H162">
        <v>72</v>
      </c>
      <c r="I162">
        <v>41</v>
      </c>
      <c r="J162">
        <v>3</v>
      </c>
    </row>
    <row r="163" spans="1:10">
      <c r="A163" t="s">
        <v>29</v>
      </c>
      <c r="B163">
        <v>72</v>
      </c>
      <c r="C163" t="s">
        <v>504</v>
      </c>
      <c r="D163">
        <v>82</v>
      </c>
      <c r="E163">
        <v>492</v>
      </c>
      <c r="F163">
        <v>75066</v>
      </c>
      <c r="G163">
        <v>780</v>
      </c>
      <c r="H163">
        <v>72</v>
      </c>
      <c r="I163">
        <v>41</v>
      </c>
      <c r="J163">
        <v>3</v>
      </c>
    </row>
    <row r="164" spans="1:10">
      <c r="A164" t="s">
        <v>29</v>
      </c>
      <c r="B164">
        <v>73</v>
      </c>
      <c r="C164" t="s">
        <v>505</v>
      </c>
      <c r="D164">
        <v>84</v>
      </c>
      <c r="E164">
        <v>504</v>
      </c>
      <c r="F164">
        <v>76156</v>
      </c>
      <c r="G164">
        <v>802</v>
      </c>
      <c r="H164">
        <v>73</v>
      </c>
      <c r="I164">
        <v>42</v>
      </c>
      <c r="J164">
        <v>3</v>
      </c>
    </row>
    <row r="165" spans="1:10">
      <c r="A165" t="s">
        <v>29</v>
      </c>
      <c r="B165">
        <v>74</v>
      </c>
      <c r="C165" t="s">
        <v>506</v>
      </c>
      <c r="D165">
        <v>84</v>
      </c>
      <c r="E165">
        <v>504</v>
      </c>
      <c r="F165">
        <v>76156</v>
      </c>
      <c r="G165">
        <v>802</v>
      </c>
      <c r="H165">
        <v>73</v>
      </c>
      <c r="I165">
        <v>42</v>
      </c>
      <c r="J165">
        <v>3</v>
      </c>
    </row>
    <row r="166" spans="1:10">
      <c r="A166" t="s">
        <v>29</v>
      </c>
      <c r="B166">
        <v>75</v>
      </c>
      <c r="C166" t="s">
        <v>507</v>
      </c>
      <c r="D166">
        <v>86</v>
      </c>
      <c r="E166">
        <v>516</v>
      </c>
      <c r="F166">
        <v>77644</v>
      </c>
      <c r="G166">
        <v>805</v>
      </c>
      <c r="H166">
        <v>73</v>
      </c>
      <c r="I166">
        <v>43</v>
      </c>
      <c r="J166">
        <v>3</v>
      </c>
    </row>
    <row r="167" spans="1:10">
      <c r="A167" t="s">
        <v>29</v>
      </c>
      <c r="B167">
        <v>76</v>
      </c>
      <c r="C167" t="s">
        <v>508</v>
      </c>
      <c r="D167">
        <v>86</v>
      </c>
      <c r="E167">
        <v>516</v>
      </c>
      <c r="F167">
        <v>77644</v>
      </c>
      <c r="G167">
        <v>805</v>
      </c>
      <c r="H167">
        <v>73</v>
      </c>
      <c r="I167">
        <v>43</v>
      </c>
      <c r="J167">
        <v>3</v>
      </c>
    </row>
    <row r="168" spans="1:10">
      <c r="A168" t="s">
        <v>29</v>
      </c>
      <c r="B168">
        <v>77</v>
      </c>
      <c r="C168" t="s">
        <v>509</v>
      </c>
      <c r="D168">
        <v>88</v>
      </c>
      <c r="E168">
        <v>528</v>
      </c>
      <c r="F168">
        <v>78874</v>
      </c>
      <c r="G168">
        <v>815</v>
      </c>
      <c r="H168">
        <v>74</v>
      </c>
      <c r="I168">
        <v>44</v>
      </c>
      <c r="J168">
        <v>3</v>
      </c>
    </row>
    <row r="169" spans="1:10">
      <c r="A169" t="s">
        <v>29</v>
      </c>
      <c r="B169">
        <v>78</v>
      </c>
      <c r="C169" t="s">
        <v>510</v>
      </c>
      <c r="D169">
        <v>90</v>
      </c>
      <c r="E169">
        <v>540</v>
      </c>
      <c r="F169">
        <v>79811</v>
      </c>
      <c r="G169">
        <v>822</v>
      </c>
      <c r="H169">
        <v>74</v>
      </c>
      <c r="I169">
        <v>45</v>
      </c>
      <c r="J169">
        <v>3</v>
      </c>
    </row>
    <row r="170" spans="1:10">
      <c r="A170" t="s">
        <v>29</v>
      </c>
      <c r="B170">
        <v>79</v>
      </c>
      <c r="C170" t="s">
        <v>511</v>
      </c>
      <c r="D170">
        <v>90</v>
      </c>
      <c r="E170">
        <v>540</v>
      </c>
      <c r="F170">
        <v>79811</v>
      </c>
      <c r="G170">
        <v>822</v>
      </c>
      <c r="H170">
        <v>74</v>
      </c>
      <c r="I170">
        <v>45</v>
      </c>
      <c r="J170">
        <v>3</v>
      </c>
    </row>
    <row r="171" spans="1:10">
      <c r="A171" t="s">
        <v>29</v>
      </c>
      <c r="B171">
        <v>80</v>
      </c>
      <c r="C171" t="s">
        <v>512</v>
      </c>
      <c r="D171">
        <v>92</v>
      </c>
      <c r="E171">
        <v>552</v>
      </c>
      <c r="F171">
        <v>82109</v>
      </c>
      <c r="G171">
        <v>842</v>
      </c>
      <c r="H171">
        <v>75</v>
      </c>
      <c r="I171">
        <v>46</v>
      </c>
      <c r="J171">
        <v>4</v>
      </c>
    </row>
    <row r="172" spans="1:10">
      <c r="A172" t="s">
        <v>29</v>
      </c>
      <c r="B172">
        <v>81</v>
      </c>
      <c r="C172" t="s">
        <v>513</v>
      </c>
      <c r="D172">
        <v>92</v>
      </c>
      <c r="E172">
        <v>552</v>
      </c>
      <c r="F172">
        <v>82109</v>
      </c>
      <c r="G172">
        <v>842</v>
      </c>
      <c r="H172">
        <v>75</v>
      </c>
      <c r="I172">
        <v>46</v>
      </c>
      <c r="J172">
        <v>4</v>
      </c>
    </row>
    <row r="173" spans="1:10">
      <c r="A173" t="s">
        <v>29</v>
      </c>
      <c r="B173">
        <v>82</v>
      </c>
      <c r="C173" t="s">
        <v>514</v>
      </c>
      <c r="D173">
        <v>94</v>
      </c>
      <c r="E173">
        <v>564</v>
      </c>
      <c r="F173">
        <v>83708</v>
      </c>
      <c r="G173">
        <v>842</v>
      </c>
      <c r="H173">
        <v>78</v>
      </c>
      <c r="I173">
        <v>47</v>
      </c>
      <c r="J173">
        <v>4</v>
      </c>
    </row>
    <row r="174" spans="1:10">
      <c r="A174" t="s">
        <v>29</v>
      </c>
      <c r="B174">
        <v>83</v>
      </c>
      <c r="C174" t="s">
        <v>515</v>
      </c>
      <c r="D174">
        <v>94</v>
      </c>
      <c r="E174">
        <v>564</v>
      </c>
      <c r="F174">
        <v>83708</v>
      </c>
      <c r="G174">
        <v>842</v>
      </c>
      <c r="H174">
        <v>78</v>
      </c>
      <c r="I174">
        <v>47</v>
      </c>
      <c r="J174">
        <v>4</v>
      </c>
    </row>
    <row r="175" spans="1:10">
      <c r="A175" t="s">
        <v>29</v>
      </c>
      <c r="B175">
        <v>84</v>
      </c>
      <c r="C175" t="s">
        <v>516</v>
      </c>
      <c r="D175">
        <v>96</v>
      </c>
      <c r="E175">
        <v>576</v>
      </c>
      <c r="F175">
        <v>85523</v>
      </c>
      <c r="G175">
        <v>850</v>
      </c>
      <c r="H175">
        <v>79</v>
      </c>
      <c r="I175">
        <v>48</v>
      </c>
      <c r="J175">
        <v>4</v>
      </c>
    </row>
    <row r="176" spans="1:10">
      <c r="A176" t="s">
        <v>29</v>
      </c>
      <c r="B176">
        <v>85</v>
      </c>
      <c r="C176" t="s">
        <v>517</v>
      </c>
      <c r="D176">
        <v>98</v>
      </c>
      <c r="E176">
        <v>588</v>
      </c>
      <c r="F176">
        <v>86494</v>
      </c>
      <c r="G176">
        <v>870</v>
      </c>
      <c r="H176">
        <v>79</v>
      </c>
      <c r="I176">
        <v>49</v>
      </c>
      <c r="J176">
        <v>4</v>
      </c>
    </row>
    <row r="177" spans="1:10">
      <c r="A177" t="s">
        <v>29</v>
      </c>
      <c r="B177">
        <v>86</v>
      </c>
      <c r="C177" t="s">
        <v>518</v>
      </c>
      <c r="D177">
        <v>98</v>
      </c>
      <c r="E177">
        <v>588</v>
      </c>
      <c r="F177">
        <v>86494</v>
      </c>
      <c r="G177">
        <v>870</v>
      </c>
      <c r="H177">
        <v>79</v>
      </c>
      <c r="I177">
        <v>49</v>
      </c>
      <c r="J177">
        <v>4</v>
      </c>
    </row>
    <row r="178" spans="1:10">
      <c r="A178" t="s">
        <v>29</v>
      </c>
      <c r="B178">
        <v>87</v>
      </c>
      <c r="C178" t="s">
        <v>519</v>
      </c>
      <c r="D178">
        <v>100</v>
      </c>
      <c r="E178">
        <v>600</v>
      </c>
      <c r="F178">
        <v>87578</v>
      </c>
      <c r="G178">
        <v>875</v>
      </c>
      <c r="H178">
        <v>80</v>
      </c>
      <c r="I178">
        <v>50</v>
      </c>
      <c r="J178">
        <v>4</v>
      </c>
    </row>
    <row r="179" spans="1:10">
      <c r="A179" t="s">
        <v>29</v>
      </c>
      <c r="B179">
        <v>88</v>
      </c>
      <c r="C179" t="s">
        <v>520</v>
      </c>
      <c r="D179">
        <v>100</v>
      </c>
      <c r="E179">
        <v>600</v>
      </c>
      <c r="F179">
        <v>87578</v>
      </c>
      <c r="G179">
        <v>875</v>
      </c>
      <c r="H179">
        <v>80</v>
      </c>
      <c r="I179">
        <v>50</v>
      </c>
      <c r="J179">
        <v>4</v>
      </c>
    </row>
    <row r="180" spans="1:10">
      <c r="A180" t="s">
        <v>29</v>
      </c>
      <c r="B180">
        <v>89</v>
      </c>
      <c r="C180" t="s">
        <v>521</v>
      </c>
      <c r="D180">
        <v>102</v>
      </c>
      <c r="E180">
        <v>612</v>
      </c>
      <c r="F180">
        <v>91244</v>
      </c>
      <c r="G180">
        <v>888</v>
      </c>
      <c r="H180">
        <v>82</v>
      </c>
      <c r="I180">
        <v>51</v>
      </c>
      <c r="J180">
        <v>4</v>
      </c>
    </row>
    <row r="181" spans="1:10">
      <c r="A181" t="s">
        <v>29</v>
      </c>
      <c r="B181">
        <v>90</v>
      </c>
      <c r="C181" t="s">
        <v>522</v>
      </c>
      <c r="D181">
        <v>102</v>
      </c>
      <c r="E181">
        <v>612</v>
      </c>
      <c r="F181">
        <v>91244</v>
      </c>
      <c r="G181">
        <v>888</v>
      </c>
      <c r="H181">
        <v>82</v>
      </c>
      <c r="I181">
        <v>51</v>
      </c>
      <c r="J181">
        <v>4</v>
      </c>
    </row>
    <row r="182" spans="1:10">
      <c r="A182" t="s">
        <v>30</v>
      </c>
      <c r="B182">
        <v>1</v>
      </c>
      <c r="C182" t="s">
        <v>433</v>
      </c>
      <c r="D182">
        <v>3</v>
      </c>
      <c r="E182">
        <v>18</v>
      </c>
      <c r="F182">
        <v>1540</v>
      </c>
      <c r="G182">
        <v>82</v>
      </c>
      <c r="H182">
        <v>1</v>
      </c>
      <c r="I182">
        <v>1</v>
      </c>
      <c r="J182">
        <v>0</v>
      </c>
    </row>
    <row r="183" spans="1:10">
      <c r="A183" t="s">
        <v>30</v>
      </c>
      <c r="B183">
        <v>2</v>
      </c>
      <c r="C183" t="s">
        <v>434</v>
      </c>
      <c r="D183">
        <v>6</v>
      </c>
      <c r="E183">
        <v>36</v>
      </c>
      <c r="F183">
        <v>3617</v>
      </c>
      <c r="G183">
        <v>99</v>
      </c>
      <c r="H183">
        <v>4</v>
      </c>
      <c r="I183">
        <v>2</v>
      </c>
      <c r="J183">
        <v>0</v>
      </c>
    </row>
    <row r="184" spans="1:10">
      <c r="A184" t="s">
        <v>30</v>
      </c>
      <c r="B184">
        <v>3</v>
      </c>
      <c r="C184" t="s">
        <v>435</v>
      </c>
      <c r="D184">
        <v>9</v>
      </c>
      <c r="E184">
        <v>54</v>
      </c>
      <c r="F184">
        <v>5709</v>
      </c>
      <c r="G184">
        <v>139</v>
      </c>
      <c r="H184">
        <v>7</v>
      </c>
      <c r="I184">
        <v>3</v>
      </c>
      <c r="J184">
        <v>0</v>
      </c>
    </row>
    <row r="185" spans="1:10">
      <c r="A185" t="s">
        <v>30</v>
      </c>
      <c r="B185">
        <v>4</v>
      </c>
      <c r="C185" t="s">
        <v>436</v>
      </c>
      <c r="D185">
        <v>12</v>
      </c>
      <c r="E185">
        <v>72</v>
      </c>
      <c r="F185">
        <v>8968</v>
      </c>
      <c r="G185">
        <v>184</v>
      </c>
      <c r="H185">
        <v>11</v>
      </c>
      <c r="I185">
        <v>4</v>
      </c>
      <c r="J185">
        <v>0</v>
      </c>
    </row>
    <row r="186" spans="1:10">
      <c r="A186" t="s">
        <v>30</v>
      </c>
      <c r="B186">
        <v>5</v>
      </c>
      <c r="C186" t="s">
        <v>437</v>
      </c>
      <c r="D186">
        <v>15</v>
      </c>
      <c r="E186">
        <v>90</v>
      </c>
      <c r="F186">
        <v>11064</v>
      </c>
      <c r="G186">
        <v>212</v>
      </c>
      <c r="H186">
        <v>13</v>
      </c>
      <c r="I186">
        <v>5</v>
      </c>
      <c r="J186">
        <v>0</v>
      </c>
    </row>
    <row r="187" spans="1:10">
      <c r="A187" t="s">
        <v>30</v>
      </c>
      <c r="B187">
        <v>6</v>
      </c>
      <c r="C187" t="s">
        <v>438</v>
      </c>
      <c r="D187">
        <v>18</v>
      </c>
      <c r="E187">
        <v>108</v>
      </c>
      <c r="F187">
        <v>13655</v>
      </c>
      <c r="G187">
        <v>242</v>
      </c>
      <c r="H187">
        <v>14</v>
      </c>
      <c r="I187">
        <v>6</v>
      </c>
      <c r="J187">
        <v>0</v>
      </c>
    </row>
    <row r="188" spans="1:10">
      <c r="A188" t="s">
        <v>30</v>
      </c>
      <c r="B188">
        <v>7</v>
      </c>
      <c r="C188" t="s">
        <v>439</v>
      </c>
      <c r="D188">
        <v>21</v>
      </c>
      <c r="E188">
        <v>126</v>
      </c>
      <c r="F188">
        <v>16421</v>
      </c>
      <c r="G188">
        <v>270</v>
      </c>
      <c r="H188">
        <v>15</v>
      </c>
      <c r="I188">
        <v>7</v>
      </c>
      <c r="J188">
        <v>0</v>
      </c>
    </row>
    <row r="189" spans="1:10">
      <c r="A189" t="s">
        <v>30</v>
      </c>
      <c r="B189">
        <v>8</v>
      </c>
      <c r="C189" t="s">
        <v>440</v>
      </c>
      <c r="D189">
        <v>24</v>
      </c>
      <c r="E189">
        <v>144</v>
      </c>
      <c r="F189">
        <v>18846</v>
      </c>
      <c r="G189">
        <v>297</v>
      </c>
      <c r="H189">
        <v>17</v>
      </c>
      <c r="I189">
        <v>8</v>
      </c>
      <c r="J189">
        <v>1</v>
      </c>
    </row>
    <row r="190" spans="1:10">
      <c r="A190" t="s">
        <v>30</v>
      </c>
      <c r="B190">
        <v>9</v>
      </c>
      <c r="C190" t="s">
        <v>441</v>
      </c>
      <c r="D190">
        <v>27</v>
      </c>
      <c r="E190">
        <v>162</v>
      </c>
      <c r="F190">
        <v>20689</v>
      </c>
      <c r="G190">
        <v>312</v>
      </c>
      <c r="H190">
        <v>18</v>
      </c>
      <c r="I190">
        <v>9</v>
      </c>
      <c r="J190">
        <v>1</v>
      </c>
    </row>
    <row r="191" spans="1:10">
      <c r="A191" t="s">
        <v>30</v>
      </c>
      <c r="B191">
        <v>10</v>
      </c>
      <c r="C191" t="s">
        <v>442</v>
      </c>
      <c r="D191">
        <v>30</v>
      </c>
      <c r="E191">
        <v>180</v>
      </c>
      <c r="F191">
        <v>23126</v>
      </c>
      <c r="G191">
        <v>350</v>
      </c>
      <c r="H191">
        <v>20</v>
      </c>
      <c r="I191">
        <v>10</v>
      </c>
      <c r="J191">
        <v>1</v>
      </c>
    </row>
    <row r="192" spans="1:10">
      <c r="A192" t="s">
        <v>30</v>
      </c>
      <c r="B192">
        <v>11</v>
      </c>
      <c r="C192" t="s">
        <v>443</v>
      </c>
      <c r="D192">
        <v>33</v>
      </c>
      <c r="E192">
        <v>198</v>
      </c>
      <c r="F192">
        <v>25915</v>
      </c>
      <c r="G192">
        <v>385</v>
      </c>
      <c r="H192">
        <v>22</v>
      </c>
      <c r="I192">
        <v>11</v>
      </c>
      <c r="J192">
        <v>1</v>
      </c>
    </row>
    <row r="193" spans="1:10">
      <c r="A193" t="s">
        <v>30</v>
      </c>
      <c r="B193">
        <v>12</v>
      </c>
      <c r="C193" t="s">
        <v>444</v>
      </c>
      <c r="D193">
        <v>36</v>
      </c>
      <c r="E193">
        <v>216</v>
      </c>
      <c r="F193">
        <v>28911</v>
      </c>
      <c r="G193">
        <v>425</v>
      </c>
      <c r="H193">
        <v>24</v>
      </c>
      <c r="I193">
        <v>12</v>
      </c>
      <c r="J193">
        <v>1</v>
      </c>
    </row>
    <row r="194" spans="1:10">
      <c r="A194" t="s">
        <v>30</v>
      </c>
      <c r="B194">
        <v>13</v>
      </c>
      <c r="C194" t="s">
        <v>445</v>
      </c>
      <c r="D194">
        <v>39</v>
      </c>
      <c r="E194">
        <v>234</v>
      </c>
      <c r="F194">
        <v>31359</v>
      </c>
      <c r="G194">
        <v>430</v>
      </c>
      <c r="H194">
        <v>26</v>
      </c>
      <c r="I194">
        <v>13</v>
      </c>
      <c r="J194">
        <v>1</v>
      </c>
    </row>
    <row r="195" spans="1:10">
      <c r="A195" t="s">
        <v>30</v>
      </c>
      <c r="B195">
        <v>14</v>
      </c>
      <c r="C195" t="s">
        <v>446</v>
      </c>
      <c r="D195">
        <v>42</v>
      </c>
      <c r="E195">
        <v>252</v>
      </c>
      <c r="F195">
        <v>33296</v>
      </c>
      <c r="G195">
        <v>458</v>
      </c>
      <c r="H195">
        <v>28</v>
      </c>
      <c r="I195">
        <v>14</v>
      </c>
      <c r="J195">
        <v>1</v>
      </c>
    </row>
    <row r="196" spans="1:10">
      <c r="A196" t="s">
        <v>30</v>
      </c>
      <c r="B196">
        <v>15</v>
      </c>
      <c r="C196" t="s">
        <v>447</v>
      </c>
      <c r="D196">
        <v>45</v>
      </c>
      <c r="E196">
        <v>270</v>
      </c>
      <c r="F196">
        <v>35811</v>
      </c>
      <c r="G196">
        <v>476</v>
      </c>
      <c r="H196">
        <v>30</v>
      </c>
      <c r="I196">
        <v>15</v>
      </c>
      <c r="J196">
        <v>2</v>
      </c>
    </row>
    <row r="197" spans="1:10">
      <c r="A197" t="s">
        <v>30</v>
      </c>
      <c r="B197">
        <v>16</v>
      </c>
      <c r="C197" t="s">
        <v>448</v>
      </c>
      <c r="D197">
        <v>48</v>
      </c>
      <c r="E197">
        <v>288</v>
      </c>
      <c r="F197">
        <v>37679</v>
      </c>
      <c r="G197">
        <v>489</v>
      </c>
      <c r="H197">
        <v>32</v>
      </c>
      <c r="I197">
        <v>16</v>
      </c>
      <c r="J197">
        <v>2</v>
      </c>
    </row>
    <row r="198" spans="1:10">
      <c r="A198" t="s">
        <v>30</v>
      </c>
      <c r="B198">
        <v>17</v>
      </c>
      <c r="C198" t="s">
        <v>449</v>
      </c>
      <c r="D198">
        <v>51</v>
      </c>
      <c r="E198">
        <v>306</v>
      </c>
      <c r="F198">
        <v>40097</v>
      </c>
      <c r="G198">
        <v>514</v>
      </c>
      <c r="H198">
        <v>35</v>
      </c>
      <c r="I198">
        <v>17</v>
      </c>
      <c r="J198">
        <v>2</v>
      </c>
    </row>
    <row r="199" spans="1:10">
      <c r="A199" t="s">
        <v>30</v>
      </c>
      <c r="B199">
        <v>18</v>
      </c>
      <c r="C199" t="s">
        <v>450</v>
      </c>
      <c r="D199">
        <v>54</v>
      </c>
      <c r="E199">
        <v>324</v>
      </c>
      <c r="F199">
        <v>42591</v>
      </c>
      <c r="G199">
        <v>534</v>
      </c>
      <c r="H199">
        <v>36</v>
      </c>
      <c r="I199">
        <v>18</v>
      </c>
      <c r="J199">
        <v>2</v>
      </c>
    </row>
    <row r="200" spans="1:10">
      <c r="A200" t="s">
        <v>30</v>
      </c>
      <c r="B200">
        <v>19</v>
      </c>
      <c r="C200" t="s">
        <v>451</v>
      </c>
      <c r="D200">
        <v>57</v>
      </c>
      <c r="E200">
        <v>342</v>
      </c>
      <c r="F200">
        <v>46051</v>
      </c>
      <c r="G200">
        <v>557</v>
      </c>
      <c r="H200">
        <v>38</v>
      </c>
      <c r="I200">
        <v>19</v>
      </c>
      <c r="J200">
        <v>2</v>
      </c>
    </row>
    <row r="201" spans="1:10">
      <c r="A201" t="s">
        <v>30</v>
      </c>
      <c r="B201">
        <v>20</v>
      </c>
      <c r="C201" t="s">
        <v>452</v>
      </c>
      <c r="D201">
        <v>60</v>
      </c>
      <c r="E201">
        <v>360</v>
      </c>
      <c r="F201">
        <v>48259</v>
      </c>
      <c r="G201">
        <v>562</v>
      </c>
      <c r="H201">
        <v>40</v>
      </c>
      <c r="I201">
        <v>20</v>
      </c>
      <c r="J201">
        <v>2</v>
      </c>
    </row>
    <row r="202" spans="1:10">
      <c r="A202" t="s">
        <v>30</v>
      </c>
      <c r="B202">
        <v>21</v>
      </c>
      <c r="C202" t="s">
        <v>453</v>
      </c>
      <c r="D202">
        <v>63</v>
      </c>
      <c r="E202">
        <v>378</v>
      </c>
      <c r="F202">
        <v>50129</v>
      </c>
      <c r="G202">
        <v>590</v>
      </c>
      <c r="H202">
        <v>42</v>
      </c>
      <c r="I202">
        <v>21</v>
      </c>
      <c r="J202">
        <v>2</v>
      </c>
    </row>
    <row r="203" spans="1:10">
      <c r="A203" t="s">
        <v>30</v>
      </c>
      <c r="B203">
        <v>22</v>
      </c>
      <c r="C203" t="s">
        <v>454</v>
      </c>
      <c r="D203">
        <v>66</v>
      </c>
      <c r="E203">
        <v>396</v>
      </c>
      <c r="F203">
        <v>54322</v>
      </c>
      <c r="G203">
        <v>608</v>
      </c>
      <c r="H203">
        <v>43</v>
      </c>
      <c r="I203">
        <v>22</v>
      </c>
      <c r="J203">
        <v>3</v>
      </c>
    </row>
    <row r="204" spans="1:10">
      <c r="A204" t="s">
        <v>30</v>
      </c>
      <c r="B204">
        <v>23</v>
      </c>
      <c r="C204" t="s">
        <v>455</v>
      </c>
      <c r="D204">
        <v>69</v>
      </c>
      <c r="E204">
        <v>414</v>
      </c>
      <c r="F204">
        <v>56304</v>
      </c>
      <c r="G204">
        <v>608</v>
      </c>
      <c r="H204">
        <v>45</v>
      </c>
      <c r="I204">
        <v>23</v>
      </c>
      <c r="J204">
        <v>3</v>
      </c>
    </row>
    <row r="205" spans="1:10">
      <c r="A205" t="s">
        <v>30</v>
      </c>
      <c r="B205">
        <v>24</v>
      </c>
      <c r="C205" t="s">
        <v>456</v>
      </c>
      <c r="D205">
        <v>72</v>
      </c>
      <c r="E205">
        <v>432</v>
      </c>
      <c r="F205">
        <v>58783</v>
      </c>
      <c r="G205">
        <v>633</v>
      </c>
      <c r="H205">
        <v>48</v>
      </c>
      <c r="I205">
        <v>24</v>
      </c>
      <c r="J205">
        <v>3</v>
      </c>
    </row>
    <row r="206" spans="1:10">
      <c r="A206" t="s">
        <v>30</v>
      </c>
      <c r="B206">
        <v>25</v>
      </c>
      <c r="C206" t="s">
        <v>457</v>
      </c>
      <c r="D206">
        <v>75</v>
      </c>
      <c r="E206">
        <v>450</v>
      </c>
      <c r="F206">
        <v>61271</v>
      </c>
      <c r="G206">
        <v>656</v>
      </c>
      <c r="H206">
        <v>50</v>
      </c>
      <c r="I206">
        <v>25</v>
      </c>
      <c r="J206">
        <v>3</v>
      </c>
    </row>
    <row r="207" spans="1:10">
      <c r="A207" t="s">
        <v>30</v>
      </c>
      <c r="B207">
        <v>26</v>
      </c>
      <c r="C207" t="s">
        <v>458</v>
      </c>
      <c r="D207">
        <v>78</v>
      </c>
      <c r="E207">
        <v>468</v>
      </c>
      <c r="F207">
        <v>62715</v>
      </c>
      <c r="G207">
        <v>674</v>
      </c>
      <c r="H207">
        <v>52</v>
      </c>
      <c r="I207">
        <v>26</v>
      </c>
      <c r="J207">
        <v>3</v>
      </c>
    </row>
    <row r="208" spans="1:10">
      <c r="A208" t="s">
        <v>30</v>
      </c>
      <c r="B208">
        <v>27</v>
      </c>
      <c r="C208" t="s">
        <v>459</v>
      </c>
      <c r="D208">
        <v>81</v>
      </c>
      <c r="E208">
        <v>486</v>
      </c>
      <c r="F208">
        <v>64782</v>
      </c>
      <c r="G208">
        <v>687</v>
      </c>
      <c r="H208">
        <v>53</v>
      </c>
      <c r="I208">
        <v>27</v>
      </c>
      <c r="J208">
        <v>3</v>
      </c>
    </row>
    <row r="209" spans="1:10">
      <c r="A209" t="s">
        <v>30</v>
      </c>
      <c r="B209">
        <v>28</v>
      </c>
      <c r="C209" t="s">
        <v>460</v>
      </c>
      <c r="D209">
        <v>84</v>
      </c>
      <c r="E209">
        <v>504</v>
      </c>
      <c r="F209">
        <v>65944</v>
      </c>
      <c r="G209">
        <v>712</v>
      </c>
      <c r="H209">
        <v>53</v>
      </c>
      <c r="I209">
        <v>28</v>
      </c>
      <c r="J209">
        <v>3</v>
      </c>
    </row>
    <row r="210" spans="1:10">
      <c r="A210" t="s">
        <v>30</v>
      </c>
      <c r="B210">
        <v>29</v>
      </c>
      <c r="C210" t="s">
        <v>461</v>
      </c>
      <c r="D210">
        <v>87</v>
      </c>
      <c r="E210">
        <v>522</v>
      </c>
      <c r="F210">
        <v>67552</v>
      </c>
      <c r="G210">
        <v>715</v>
      </c>
      <c r="H210">
        <v>53</v>
      </c>
      <c r="I210">
        <v>29</v>
      </c>
      <c r="J210">
        <v>3</v>
      </c>
    </row>
    <row r="211" spans="1:10">
      <c r="A211" t="s">
        <v>30</v>
      </c>
      <c r="B211">
        <v>30</v>
      </c>
      <c r="C211" t="s">
        <v>462</v>
      </c>
      <c r="D211">
        <v>90</v>
      </c>
      <c r="E211">
        <v>540</v>
      </c>
      <c r="F211">
        <v>68837</v>
      </c>
      <c r="G211">
        <v>720</v>
      </c>
      <c r="H211">
        <v>53</v>
      </c>
      <c r="I211">
        <v>30</v>
      </c>
      <c r="J211">
        <v>3</v>
      </c>
    </row>
    <row r="212" spans="1:10">
      <c r="A212" t="s">
        <v>30</v>
      </c>
      <c r="B212">
        <v>31</v>
      </c>
      <c r="C212" t="s">
        <v>463</v>
      </c>
      <c r="D212">
        <v>93</v>
      </c>
      <c r="E212">
        <v>558</v>
      </c>
      <c r="F212">
        <v>72250</v>
      </c>
      <c r="G212">
        <v>766</v>
      </c>
      <c r="H212">
        <v>56</v>
      </c>
      <c r="I212">
        <v>31</v>
      </c>
      <c r="J212">
        <v>4</v>
      </c>
    </row>
    <row r="213" spans="1:10">
      <c r="A213" t="s">
        <v>30</v>
      </c>
      <c r="B213">
        <v>32</v>
      </c>
      <c r="C213" t="s">
        <v>464</v>
      </c>
      <c r="D213">
        <v>96</v>
      </c>
      <c r="E213">
        <v>576</v>
      </c>
      <c r="F213">
        <v>74823</v>
      </c>
      <c r="G213">
        <v>784</v>
      </c>
      <c r="H213">
        <v>57</v>
      </c>
      <c r="I213">
        <v>32</v>
      </c>
      <c r="J213">
        <v>4</v>
      </c>
    </row>
    <row r="214" spans="1:10">
      <c r="A214" t="s">
        <v>30</v>
      </c>
      <c r="B214">
        <v>33</v>
      </c>
      <c r="C214" t="s">
        <v>465</v>
      </c>
      <c r="D214">
        <v>99</v>
      </c>
      <c r="E214">
        <v>594</v>
      </c>
      <c r="F214">
        <v>76052</v>
      </c>
      <c r="G214">
        <v>787</v>
      </c>
      <c r="H214">
        <v>59</v>
      </c>
      <c r="I214">
        <v>33</v>
      </c>
      <c r="J214">
        <v>4</v>
      </c>
    </row>
    <row r="215" spans="1:10">
      <c r="A215" t="s">
        <v>30</v>
      </c>
      <c r="B215">
        <v>34</v>
      </c>
      <c r="C215" t="s">
        <v>466</v>
      </c>
      <c r="D215">
        <v>102</v>
      </c>
      <c r="E215">
        <v>612</v>
      </c>
      <c r="F215">
        <v>79798</v>
      </c>
      <c r="G215">
        <v>790</v>
      </c>
      <c r="H215">
        <v>61</v>
      </c>
      <c r="I215">
        <v>34</v>
      </c>
      <c r="J215">
        <v>4</v>
      </c>
    </row>
    <row r="216" spans="1:10">
      <c r="A216" t="s">
        <v>30</v>
      </c>
      <c r="B216">
        <v>35</v>
      </c>
      <c r="C216" t="s">
        <v>467</v>
      </c>
      <c r="D216">
        <v>105</v>
      </c>
      <c r="E216">
        <v>630</v>
      </c>
      <c r="F216">
        <v>81962</v>
      </c>
      <c r="G216">
        <v>830</v>
      </c>
      <c r="H216">
        <v>63</v>
      </c>
      <c r="I216">
        <v>35</v>
      </c>
      <c r="J216">
        <v>4</v>
      </c>
    </row>
    <row r="217" spans="1:10">
      <c r="A217" t="s">
        <v>30</v>
      </c>
      <c r="B217">
        <v>36</v>
      </c>
      <c r="C217" t="s">
        <v>468</v>
      </c>
      <c r="D217">
        <v>108</v>
      </c>
      <c r="E217">
        <v>648</v>
      </c>
      <c r="F217">
        <v>84141</v>
      </c>
      <c r="G217">
        <v>833</v>
      </c>
      <c r="H217">
        <v>64</v>
      </c>
      <c r="I217">
        <v>36</v>
      </c>
      <c r="J217">
        <v>4</v>
      </c>
    </row>
    <row r="218" spans="1:10">
      <c r="A218" t="s">
        <v>30</v>
      </c>
      <c r="B218">
        <v>37</v>
      </c>
      <c r="C218" t="s">
        <v>469</v>
      </c>
      <c r="D218">
        <v>111</v>
      </c>
      <c r="E218">
        <v>666</v>
      </c>
      <c r="F218">
        <v>86884</v>
      </c>
      <c r="G218">
        <v>836</v>
      </c>
      <c r="H218">
        <v>66</v>
      </c>
      <c r="I218">
        <v>37</v>
      </c>
      <c r="J218">
        <v>4</v>
      </c>
    </row>
    <row r="219" spans="1:10">
      <c r="A219" t="s">
        <v>30</v>
      </c>
      <c r="B219">
        <v>38</v>
      </c>
      <c r="C219" t="s">
        <v>470</v>
      </c>
      <c r="D219">
        <v>114</v>
      </c>
      <c r="E219">
        <v>684</v>
      </c>
      <c r="F219">
        <v>90155</v>
      </c>
      <c r="G219">
        <v>879</v>
      </c>
      <c r="H219">
        <v>68</v>
      </c>
      <c r="I219">
        <v>38</v>
      </c>
      <c r="J219">
        <v>5</v>
      </c>
    </row>
    <row r="220" spans="1:10">
      <c r="A220" t="s">
        <v>30</v>
      </c>
      <c r="B220">
        <v>39</v>
      </c>
      <c r="C220" t="s">
        <v>471</v>
      </c>
      <c r="D220">
        <v>117</v>
      </c>
      <c r="E220">
        <v>702</v>
      </c>
      <c r="F220">
        <v>92653</v>
      </c>
      <c r="G220">
        <v>912</v>
      </c>
      <c r="H220">
        <v>69</v>
      </c>
      <c r="I220">
        <v>39</v>
      </c>
      <c r="J220">
        <v>5</v>
      </c>
    </row>
    <row r="221" spans="1:10">
      <c r="A221" t="s">
        <v>30</v>
      </c>
      <c r="B221">
        <v>40</v>
      </c>
      <c r="C221" t="s">
        <v>472</v>
      </c>
      <c r="D221">
        <v>120</v>
      </c>
      <c r="E221">
        <v>720</v>
      </c>
      <c r="F221">
        <v>95719</v>
      </c>
      <c r="G221">
        <v>920</v>
      </c>
      <c r="H221">
        <v>71</v>
      </c>
      <c r="I221">
        <v>40</v>
      </c>
      <c r="J221">
        <v>5</v>
      </c>
    </row>
    <row r="222" spans="1:10">
      <c r="A222" t="s">
        <v>30</v>
      </c>
      <c r="B222">
        <v>41</v>
      </c>
      <c r="C222" t="s">
        <v>473</v>
      </c>
      <c r="D222">
        <v>123</v>
      </c>
      <c r="E222">
        <v>738</v>
      </c>
      <c r="F222">
        <v>97605</v>
      </c>
      <c r="G222">
        <v>926</v>
      </c>
      <c r="H222">
        <v>74</v>
      </c>
      <c r="I222">
        <v>41</v>
      </c>
      <c r="J222">
        <v>5</v>
      </c>
    </row>
    <row r="223" spans="1:10">
      <c r="A223" t="s">
        <v>30</v>
      </c>
      <c r="B223">
        <v>42</v>
      </c>
      <c r="C223" t="s">
        <v>474</v>
      </c>
      <c r="D223">
        <v>126</v>
      </c>
      <c r="E223">
        <v>756</v>
      </c>
      <c r="F223">
        <v>99445</v>
      </c>
      <c r="G223">
        <v>956</v>
      </c>
      <c r="H223">
        <v>75</v>
      </c>
      <c r="I223">
        <v>42</v>
      </c>
      <c r="J223">
        <v>5</v>
      </c>
    </row>
    <row r="224" spans="1:10">
      <c r="A224" t="s">
        <v>30</v>
      </c>
      <c r="B224">
        <v>43</v>
      </c>
      <c r="C224" t="s">
        <v>475</v>
      </c>
      <c r="D224">
        <v>129</v>
      </c>
      <c r="E224">
        <v>774</v>
      </c>
      <c r="F224">
        <v>101338</v>
      </c>
      <c r="G224">
        <v>969</v>
      </c>
      <c r="H224">
        <v>76</v>
      </c>
      <c r="I224">
        <v>43</v>
      </c>
      <c r="J224">
        <v>5</v>
      </c>
    </row>
    <row r="225" spans="1:10">
      <c r="A225" t="s">
        <v>30</v>
      </c>
      <c r="B225">
        <v>44</v>
      </c>
      <c r="C225" t="s">
        <v>476</v>
      </c>
      <c r="D225">
        <v>132</v>
      </c>
      <c r="E225">
        <v>792</v>
      </c>
      <c r="F225">
        <v>104730</v>
      </c>
      <c r="G225">
        <v>979</v>
      </c>
      <c r="H225">
        <v>78</v>
      </c>
      <c r="I225">
        <v>44</v>
      </c>
      <c r="J225">
        <v>5</v>
      </c>
    </row>
    <row r="226" spans="1:10">
      <c r="A226" t="s">
        <v>30</v>
      </c>
      <c r="B226">
        <v>45</v>
      </c>
      <c r="C226" t="s">
        <v>477</v>
      </c>
      <c r="D226">
        <v>135</v>
      </c>
      <c r="E226">
        <v>810</v>
      </c>
      <c r="F226">
        <v>107864</v>
      </c>
      <c r="G226">
        <v>1007</v>
      </c>
      <c r="H226">
        <v>80</v>
      </c>
      <c r="I226">
        <v>45</v>
      </c>
      <c r="J226">
        <v>5</v>
      </c>
    </row>
    <row r="227" spans="1:10">
      <c r="A227" t="s">
        <v>30</v>
      </c>
      <c r="B227">
        <v>46</v>
      </c>
      <c r="C227" t="s">
        <v>478</v>
      </c>
      <c r="D227">
        <v>138</v>
      </c>
      <c r="E227">
        <v>828</v>
      </c>
      <c r="F227">
        <v>110221</v>
      </c>
      <c r="G227">
        <v>1025</v>
      </c>
      <c r="H227">
        <v>80</v>
      </c>
      <c r="I227">
        <v>46</v>
      </c>
      <c r="J227">
        <v>6</v>
      </c>
    </row>
    <row r="228" spans="1:10">
      <c r="A228" t="s">
        <v>30</v>
      </c>
      <c r="B228">
        <v>47</v>
      </c>
      <c r="C228" t="s">
        <v>479</v>
      </c>
      <c r="D228">
        <v>141</v>
      </c>
      <c r="E228">
        <v>846</v>
      </c>
      <c r="F228">
        <v>112192</v>
      </c>
      <c r="G228">
        <v>1025</v>
      </c>
      <c r="H228">
        <v>83</v>
      </c>
      <c r="I228">
        <v>47</v>
      </c>
      <c r="J228">
        <v>6</v>
      </c>
    </row>
    <row r="229" spans="1:10">
      <c r="A229" t="s">
        <v>30</v>
      </c>
      <c r="B229">
        <v>48</v>
      </c>
      <c r="C229" t="s">
        <v>480</v>
      </c>
      <c r="D229">
        <v>144</v>
      </c>
      <c r="E229">
        <v>864</v>
      </c>
      <c r="F229">
        <v>113821</v>
      </c>
      <c r="G229">
        <v>1033</v>
      </c>
      <c r="H229">
        <v>84</v>
      </c>
      <c r="I229">
        <v>48</v>
      </c>
      <c r="J229">
        <v>6</v>
      </c>
    </row>
    <row r="230" spans="1:10">
      <c r="A230" t="s">
        <v>30</v>
      </c>
      <c r="B230">
        <v>49</v>
      </c>
      <c r="C230" t="s">
        <v>481</v>
      </c>
      <c r="D230">
        <v>147</v>
      </c>
      <c r="E230">
        <v>882</v>
      </c>
      <c r="F230">
        <v>115721</v>
      </c>
      <c r="G230">
        <v>1063</v>
      </c>
      <c r="H230">
        <v>84</v>
      </c>
      <c r="I230">
        <v>49</v>
      </c>
      <c r="J230">
        <v>6</v>
      </c>
    </row>
    <row r="231" spans="1:10">
      <c r="A231" t="s">
        <v>30</v>
      </c>
      <c r="B231">
        <v>50</v>
      </c>
      <c r="C231" t="s">
        <v>482</v>
      </c>
      <c r="D231">
        <v>150</v>
      </c>
      <c r="E231">
        <v>900</v>
      </c>
      <c r="F231">
        <v>117847</v>
      </c>
      <c r="G231">
        <v>1076</v>
      </c>
      <c r="H231">
        <v>85</v>
      </c>
      <c r="I231">
        <v>50</v>
      </c>
      <c r="J231">
        <v>6</v>
      </c>
    </row>
    <row r="232" spans="1:10">
      <c r="A232" t="s">
        <v>30</v>
      </c>
      <c r="B232">
        <v>51</v>
      </c>
      <c r="C232" t="s">
        <v>483</v>
      </c>
      <c r="D232">
        <v>153</v>
      </c>
      <c r="E232">
        <v>918</v>
      </c>
      <c r="F232">
        <v>119575</v>
      </c>
      <c r="G232">
        <v>1089</v>
      </c>
      <c r="H232">
        <v>86</v>
      </c>
      <c r="I232">
        <v>51</v>
      </c>
      <c r="J232">
        <v>6</v>
      </c>
    </row>
    <row r="233" spans="1:10">
      <c r="A233" t="s">
        <v>30</v>
      </c>
      <c r="B233">
        <v>52</v>
      </c>
      <c r="C233" t="s">
        <v>484</v>
      </c>
      <c r="D233">
        <v>156</v>
      </c>
      <c r="E233">
        <v>936</v>
      </c>
      <c r="F233">
        <v>122162</v>
      </c>
      <c r="G233">
        <v>1107</v>
      </c>
      <c r="H233">
        <v>88</v>
      </c>
      <c r="I233">
        <v>52</v>
      </c>
      <c r="J233">
        <v>6</v>
      </c>
    </row>
    <row r="234" spans="1:10">
      <c r="A234" t="s">
        <v>30</v>
      </c>
      <c r="B234">
        <v>53</v>
      </c>
      <c r="C234" t="s">
        <v>485</v>
      </c>
      <c r="D234">
        <v>159</v>
      </c>
      <c r="E234">
        <v>954</v>
      </c>
      <c r="F234">
        <v>124348</v>
      </c>
      <c r="G234">
        <v>1120</v>
      </c>
      <c r="H234">
        <v>90</v>
      </c>
      <c r="I234">
        <v>53</v>
      </c>
      <c r="J234">
        <v>6</v>
      </c>
    </row>
    <row r="235" spans="1:10">
      <c r="A235" t="s">
        <v>30</v>
      </c>
      <c r="B235">
        <v>54</v>
      </c>
      <c r="C235" t="s">
        <v>486</v>
      </c>
      <c r="D235">
        <v>162</v>
      </c>
      <c r="E235">
        <v>972</v>
      </c>
      <c r="F235">
        <v>126859</v>
      </c>
      <c r="G235">
        <v>1138</v>
      </c>
      <c r="H235">
        <v>92</v>
      </c>
      <c r="I235">
        <v>54</v>
      </c>
      <c r="J235">
        <v>7</v>
      </c>
    </row>
    <row r="236" spans="1:10">
      <c r="A236" t="s">
        <v>30</v>
      </c>
      <c r="B236">
        <v>55</v>
      </c>
      <c r="C236" t="s">
        <v>487</v>
      </c>
      <c r="D236">
        <v>165</v>
      </c>
      <c r="E236">
        <v>990</v>
      </c>
      <c r="F236">
        <v>128707</v>
      </c>
      <c r="G236">
        <v>1141</v>
      </c>
      <c r="H236">
        <v>94</v>
      </c>
      <c r="I236">
        <v>55</v>
      </c>
      <c r="J236">
        <v>7</v>
      </c>
    </row>
    <row r="237" spans="1:10">
      <c r="A237" t="s">
        <v>30</v>
      </c>
      <c r="B237">
        <v>56</v>
      </c>
      <c r="C237" t="s">
        <v>488</v>
      </c>
      <c r="D237">
        <v>168</v>
      </c>
      <c r="E237">
        <v>1008</v>
      </c>
      <c r="F237">
        <v>130726</v>
      </c>
      <c r="G237">
        <v>1173</v>
      </c>
      <c r="H237">
        <v>95</v>
      </c>
      <c r="I237">
        <v>56</v>
      </c>
      <c r="J237">
        <v>7</v>
      </c>
    </row>
    <row r="238" spans="1:10">
      <c r="A238" t="s">
        <v>30</v>
      </c>
      <c r="B238">
        <v>57</v>
      </c>
      <c r="C238" t="s">
        <v>489</v>
      </c>
      <c r="D238">
        <v>171</v>
      </c>
      <c r="E238">
        <v>1026</v>
      </c>
      <c r="F238">
        <v>132737</v>
      </c>
      <c r="G238">
        <v>1176</v>
      </c>
      <c r="H238">
        <v>97</v>
      </c>
      <c r="I238">
        <v>57</v>
      </c>
      <c r="J238">
        <v>7</v>
      </c>
    </row>
    <row r="239" spans="1:10">
      <c r="A239" t="s">
        <v>30</v>
      </c>
      <c r="B239">
        <v>58</v>
      </c>
      <c r="C239" t="s">
        <v>490</v>
      </c>
      <c r="D239">
        <v>174</v>
      </c>
      <c r="E239">
        <v>1044</v>
      </c>
      <c r="F239">
        <v>136963</v>
      </c>
      <c r="G239">
        <v>1189</v>
      </c>
      <c r="H239">
        <v>100</v>
      </c>
      <c r="I239">
        <v>58</v>
      </c>
      <c r="J239">
        <v>7</v>
      </c>
    </row>
    <row r="240" spans="1:10">
      <c r="A240" t="s">
        <v>30</v>
      </c>
      <c r="B240">
        <v>59</v>
      </c>
      <c r="C240" t="s">
        <v>491</v>
      </c>
      <c r="D240">
        <v>177</v>
      </c>
      <c r="E240">
        <v>1062</v>
      </c>
      <c r="F240">
        <v>139229</v>
      </c>
      <c r="G240">
        <v>1207</v>
      </c>
      <c r="H240">
        <v>102</v>
      </c>
      <c r="I240">
        <v>59</v>
      </c>
      <c r="J240">
        <v>7</v>
      </c>
    </row>
    <row r="241" spans="1:10">
      <c r="A241" t="s">
        <v>30</v>
      </c>
      <c r="B241">
        <v>60</v>
      </c>
      <c r="C241" t="s">
        <v>492</v>
      </c>
      <c r="D241">
        <v>180</v>
      </c>
      <c r="E241">
        <v>1080</v>
      </c>
      <c r="F241">
        <v>142053</v>
      </c>
      <c r="G241">
        <v>1230</v>
      </c>
      <c r="H241">
        <v>103</v>
      </c>
      <c r="I241">
        <v>60</v>
      </c>
      <c r="J241">
        <v>7</v>
      </c>
    </row>
    <row r="242" spans="1:10">
      <c r="A242" t="s">
        <v>30</v>
      </c>
      <c r="B242">
        <v>61</v>
      </c>
      <c r="C242" t="s">
        <v>493</v>
      </c>
      <c r="D242">
        <v>183</v>
      </c>
      <c r="E242">
        <v>1098</v>
      </c>
      <c r="F242">
        <v>144901</v>
      </c>
      <c r="G242">
        <v>1251</v>
      </c>
      <c r="H242">
        <v>107</v>
      </c>
      <c r="I242">
        <v>61</v>
      </c>
      <c r="J242">
        <v>8</v>
      </c>
    </row>
    <row r="243" spans="1:10">
      <c r="A243" t="s">
        <v>30</v>
      </c>
      <c r="B243">
        <v>62</v>
      </c>
      <c r="C243" t="s">
        <v>494</v>
      </c>
      <c r="D243">
        <v>186</v>
      </c>
      <c r="E243">
        <v>1116</v>
      </c>
      <c r="F243">
        <v>146523</v>
      </c>
      <c r="G243">
        <v>1254</v>
      </c>
      <c r="H243">
        <v>109</v>
      </c>
      <c r="I243">
        <v>62</v>
      </c>
      <c r="J243">
        <v>8</v>
      </c>
    </row>
    <row r="244" spans="1:10">
      <c r="A244" t="s">
        <v>30</v>
      </c>
      <c r="B244">
        <v>63</v>
      </c>
      <c r="C244" t="s">
        <v>495</v>
      </c>
      <c r="D244">
        <v>189</v>
      </c>
      <c r="E244">
        <v>1134</v>
      </c>
      <c r="F244">
        <v>148221</v>
      </c>
      <c r="G244">
        <v>1282</v>
      </c>
      <c r="H244">
        <v>110</v>
      </c>
      <c r="I244">
        <v>63</v>
      </c>
      <c r="J244">
        <v>8</v>
      </c>
    </row>
    <row r="245" spans="1:10">
      <c r="A245" t="s">
        <v>30</v>
      </c>
      <c r="B245">
        <v>64</v>
      </c>
      <c r="C245" t="s">
        <v>496</v>
      </c>
      <c r="D245">
        <v>192</v>
      </c>
      <c r="E245">
        <v>1152</v>
      </c>
      <c r="F245">
        <v>149977</v>
      </c>
      <c r="G245">
        <v>1290</v>
      </c>
      <c r="H245">
        <v>112</v>
      </c>
      <c r="I245">
        <v>64</v>
      </c>
      <c r="J245">
        <v>8</v>
      </c>
    </row>
    <row r="246" spans="1:10">
      <c r="A246" t="s">
        <v>30</v>
      </c>
      <c r="B246">
        <v>65</v>
      </c>
      <c r="C246" t="s">
        <v>497</v>
      </c>
      <c r="D246">
        <v>195</v>
      </c>
      <c r="E246">
        <v>1170</v>
      </c>
      <c r="F246">
        <v>151997</v>
      </c>
      <c r="G246">
        <v>1295</v>
      </c>
      <c r="H246">
        <v>114</v>
      </c>
      <c r="I246">
        <v>65</v>
      </c>
      <c r="J246">
        <v>8</v>
      </c>
    </row>
    <row r="247" spans="1:10">
      <c r="A247" t="s">
        <v>30</v>
      </c>
      <c r="B247">
        <v>66</v>
      </c>
      <c r="C247" t="s">
        <v>498</v>
      </c>
      <c r="D247">
        <v>198</v>
      </c>
      <c r="E247">
        <v>1188</v>
      </c>
      <c r="F247">
        <v>155196</v>
      </c>
      <c r="G247">
        <v>1333</v>
      </c>
      <c r="H247">
        <v>117</v>
      </c>
      <c r="I247">
        <v>66</v>
      </c>
      <c r="J247">
        <v>8</v>
      </c>
    </row>
    <row r="248" spans="1:10">
      <c r="A248" t="s">
        <v>30</v>
      </c>
      <c r="B248">
        <v>67</v>
      </c>
      <c r="C248" t="s">
        <v>499</v>
      </c>
      <c r="D248">
        <v>201</v>
      </c>
      <c r="E248">
        <v>1206</v>
      </c>
      <c r="F248">
        <v>159989</v>
      </c>
      <c r="G248">
        <v>1336</v>
      </c>
      <c r="H248">
        <v>118</v>
      </c>
      <c r="I248">
        <v>67</v>
      </c>
      <c r="J248">
        <v>8</v>
      </c>
    </row>
    <row r="249" spans="1:10">
      <c r="A249" t="s">
        <v>30</v>
      </c>
      <c r="B249">
        <v>68</v>
      </c>
      <c r="C249" t="s">
        <v>500</v>
      </c>
      <c r="D249">
        <v>204</v>
      </c>
      <c r="E249">
        <v>1224</v>
      </c>
      <c r="F249">
        <v>163100</v>
      </c>
      <c r="G249">
        <v>1349</v>
      </c>
      <c r="H249">
        <v>119</v>
      </c>
      <c r="I249">
        <v>68</v>
      </c>
      <c r="J249">
        <v>8</v>
      </c>
    </row>
    <row r="250" spans="1:10">
      <c r="A250" t="s">
        <v>30</v>
      </c>
      <c r="B250">
        <v>69</v>
      </c>
      <c r="C250" t="s">
        <v>501</v>
      </c>
      <c r="D250">
        <v>207</v>
      </c>
      <c r="E250">
        <v>1242</v>
      </c>
      <c r="F250">
        <v>165982</v>
      </c>
      <c r="G250">
        <v>1367</v>
      </c>
      <c r="H250">
        <v>122</v>
      </c>
      <c r="I250">
        <v>69</v>
      </c>
      <c r="J250">
        <v>9</v>
      </c>
    </row>
    <row r="251" spans="1:10">
      <c r="A251" t="s">
        <v>30</v>
      </c>
      <c r="B251">
        <v>70</v>
      </c>
      <c r="C251" t="s">
        <v>502</v>
      </c>
      <c r="D251">
        <v>210</v>
      </c>
      <c r="E251">
        <v>1260</v>
      </c>
      <c r="F251">
        <v>168076</v>
      </c>
      <c r="G251">
        <v>1398</v>
      </c>
      <c r="H251">
        <v>125</v>
      </c>
      <c r="I251">
        <v>70</v>
      </c>
      <c r="J251">
        <v>9</v>
      </c>
    </row>
    <row r="252" spans="1:10">
      <c r="A252" t="s">
        <v>30</v>
      </c>
      <c r="B252">
        <v>71</v>
      </c>
      <c r="C252" t="s">
        <v>503</v>
      </c>
      <c r="D252">
        <v>213</v>
      </c>
      <c r="E252">
        <v>1278</v>
      </c>
      <c r="F252">
        <v>169706</v>
      </c>
      <c r="G252">
        <v>1403</v>
      </c>
      <c r="H252">
        <v>126</v>
      </c>
      <c r="I252">
        <v>71</v>
      </c>
      <c r="J252">
        <v>9</v>
      </c>
    </row>
    <row r="253" spans="1:10">
      <c r="A253" t="s">
        <v>30</v>
      </c>
      <c r="B253">
        <v>72</v>
      </c>
      <c r="C253" t="s">
        <v>504</v>
      </c>
      <c r="D253">
        <v>216</v>
      </c>
      <c r="E253">
        <v>1296</v>
      </c>
      <c r="F253">
        <v>171854</v>
      </c>
      <c r="G253">
        <v>1413</v>
      </c>
      <c r="H253">
        <v>127</v>
      </c>
      <c r="I253">
        <v>72</v>
      </c>
      <c r="J253">
        <v>9</v>
      </c>
    </row>
    <row r="254" spans="1:10">
      <c r="A254" t="s">
        <v>30</v>
      </c>
      <c r="B254">
        <v>73</v>
      </c>
      <c r="C254" t="s">
        <v>505</v>
      </c>
      <c r="D254">
        <v>219</v>
      </c>
      <c r="E254">
        <v>1314</v>
      </c>
      <c r="F254">
        <v>174751</v>
      </c>
      <c r="G254">
        <v>1451</v>
      </c>
      <c r="H254">
        <v>128</v>
      </c>
      <c r="I254">
        <v>73</v>
      </c>
      <c r="J254">
        <v>9</v>
      </c>
    </row>
    <row r="255" spans="1:10">
      <c r="A255" t="s">
        <v>30</v>
      </c>
      <c r="B255">
        <v>74</v>
      </c>
      <c r="C255" t="s">
        <v>506</v>
      </c>
      <c r="D255">
        <v>222</v>
      </c>
      <c r="E255">
        <v>1332</v>
      </c>
      <c r="F255">
        <v>176766</v>
      </c>
      <c r="G255">
        <v>1459</v>
      </c>
      <c r="H255">
        <v>131</v>
      </c>
      <c r="I255">
        <v>74</v>
      </c>
      <c r="J255">
        <v>9</v>
      </c>
    </row>
    <row r="256" spans="1:10">
      <c r="A256" t="s">
        <v>30</v>
      </c>
      <c r="B256">
        <v>75</v>
      </c>
      <c r="C256" t="s">
        <v>507</v>
      </c>
      <c r="D256">
        <v>225</v>
      </c>
      <c r="E256">
        <v>1350</v>
      </c>
      <c r="F256">
        <v>179364</v>
      </c>
      <c r="G256">
        <v>1462</v>
      </c>
      <c r="H256">
        <v>133</v>
      </c>
      <c r="I256">
        <v>75</v>
      </c>
      <c r="J256">
        <v>9</v>
      </c>
    </row>
    <row r="257" spans="1:10">
      <c r="A257" t="s">
        <v>30</v>
      </c>
      <c r="B257">
        <v>76</v>
      </c>
      <c r="C257" t="s">
        <v>508</v>
      </c>
      <c r="D257">
        <v>228</v>
      </c>
      <c r="E257">
        <v>1368</v>
      </c>
      <c r="F257">
        <v>183578</v>
      </c>
      <c r="G257">
        <v>1480</v>
      </c>
      <c r="H257">
        <v>135</v>
      </c>
      <c r="I257">
        <v>76</v>
      </c>
      <c r="J257">
        <v>10</v>
      </c>
    </row>
    <row r="258" spans="1:10">
      <c r="A258" t="s">
        <v>30</v>
      </c>
      <c r="B258">
        <v>77</v>
      </c>
      <c r="C258" t="s">
        <v>509</v>
      </c>
      <c r="D258">
        <v>231</v>
      </c>
      <c r="E258">
        <v>1386</v>
      </c>
      <c r="F258">
        <v>187810</v>
      </c>
      <c r="G258">
        <v>1511</v>
      </c>
      <c r="H258">
        <v>138</v>
      </c>
      <c r="I258">
        <v>77</v>
      </c>
      <c r="J258">
        <v>10</v>
      </c>
    </row>
    <row r="259" spans="1:10">
      <c r="A259" t="s">
        <v>30</v>
      </c>
      <c r="B259">
        <v>78</v>
      </c>
      <c r="C259" t="s">
        <v>510</v>
      </c>
      <c r="D259">
        <v>234</v>
      </c>
      <c r="E259">
        <v>1404</v>
      </c>
      <c r="F259">
        <v>189260</v>
      </c>
      <c r="G259">
        <v>1516</v>
      </c>
      <c r="H259">
        <v>139</v>
      </c>
      <c r="I259">
        <v>78</v>
      </c>
      <c r="J259">
        <v>10</v>
      </c>
    </row>
    <row r="260" spans="1:10">
      <c r="A260" t="s">
        <v>30</v>
      </c>
      <c r="B260">
        <v>79</v>
      </c>
      <c r="C260" t="s">
        <v>511</v>
      </c>
      <c r="D260">
        <v>237</v>
      </c>
      <c r="E260">
        <v>1422</v>
      </c>
      <c r="F260">
        <v>190767</v>
      </c>
      <c r="G260">
        <v>1519</v>
      </c>
      <c r="H260">
        <v>140</v>
      </c>
      <c r="I260">
        <v>79</v>
      </c>
      <c r="J260">
        <v>10</v>
      </c>
    </row>
    <row r="261" spans="1:10">
      <c r="A261" t="s">
        <v>30</v>
      </c>
      <c r="B261">
        <v>80</v>
      </c>
      <c r="C261" t="s">
        <v>512</v>
      </c>
      <c r="D261">
        <v>240</v>
      </c>
      <c r="E261">
        <v>1440</v>
      </c>
      <c r="F261">
        <v>192662</v>
      </c>
      <c r="G261">
        <v>1524</v>
      </c>
      <c r="H261">
        <v>141</v>
      </c>
      <c r="I261">
        <v>80</v>
      </c>
      <c r="J261">
        <v>10</v>
      </c>
    </row>
    <row r="262" spans="1:10">
      <c r="A262" t="s">
        <v>30</v>
      </c>
      <c r="B262">
        <v>81</v>
      </c>
      <c r="C262" t="s">
        <v>513</v>
      </c>
      <c r="D262">
        <v>243</v>
      </c>
      <c r="E262">
        <v>1458</v>
      </c>
      <c r="F262">
        <v>195177</v>
      </c>
      <c r="G262">
        <v>1544</v>
      </c>
      <c r="H262">
        <v>143</v>
      </c>
      <c r="I262">
        <v>81</v>
      </c>
      <c r="J262">
        <v>10</v>
      </c>
    </row>
    <row r="263" spans="1:10">
      <c r="A263" t="s">
        <v>30</v>
      </c>
      <c r="B263">
        <v>82</v>
      </c>
      <c r="C263" t="s">
        <v>514</v>
      </c>
      <c r="D263">
        <v>246</v>
      </c>
      <c r="E263">
        <v>1476</v>
      </c>
      <c r="F263">
        <v>197338</v>
      </c>
      <c r="G263">
        <v>1567</v>
      </c>
      <c r="H263">
        <v>145</v>
      </c>
      <c r="I263">
        <v>82</v>
      </c>
      <c r="J263">
        <v>10</v>
      </c>
    </row>
    <row r="264" spans="1:10">
      <c r="A264" t="s">
        <v>30</v>
      </c>
      <c r="B264">
        <v>83</v>
      </c>
      <c r="C264" t="s">
        <v>515</v>
      </c>
      <c r="D264">
        <v>249</v>
      </c>
      <c r="E264">
        <v>1494</v>
      </c>
      <c r="F264">
        <v>200147</v>
      </c>
      <c r="G264">
        <v>1575</v>
      </c>
      <c r="H264">
        <v>148</v>
      </c>
      <c r="I264">
        <v>83</v>
      </c>
      <c r="J264">
        <v>10</v>
      </c>
    </row>
    <row r="265" spans="1:10">
      <c r="A265" t="s">
        <v>30</v>
      </c>
      <c r="B265">
        <v>84</v>
      </c>
      <c r="C265" t="s">
        <v>516</v>
      </c>
      <c r="D265">
        <v>252</v>
      </c>
      <c r="E265">
        <v>1512</v>
      </c>
      <c r="F265">
        <v>202749</v>
      </c>
      <c r="G265">
        <v>1618</v>
      </c>
      <c r="H265">
        <v>149</v>
      </c>
      <c r="I265">
        <v>84</v>
      </c>
      <c r="J265">
        <v>11</v>
      </c>
    </row>
    <row r="266" spans="1:10">
      <c r="A266" t="s">
        <v>30</v>
      </c>
      <c r="B266">
        <v>85</v>
      </c>
      <c r="C266" t="s">
        <v>517</v>
      </c>
      <c r="D266">
        <v>255</v>
      </c>
      <c r="E266">
        <v>1530</v>
      </c>
      <c r="F266">
        <v>204509</v>
      </c>
      <c r="G266">
        <v>1621</v>
      </c>
      <c r="H266">
        <v>151</v>
      </c>
      <c r="I266">
        <v>85</v>
      </c>
      <c r="J266">
        <v>11</v>
      </c>
    </row>
    <row r="267" spans="1:10">
      <c r="A267" t="s">
        <v>30</v>
      </c>
      <c r="B267">
        <v>86</v>
      </c>
      <c r="C267" t="s">
        <v>518</v>
      </c>
      <c r="D267">
        <v>258</v>
      </c>
      <c r="E267">
        <v>1548</v>
      </c>
      <c r="F267">
        <v>206306</v>
      </c>
      <c r="G267">
        <v>1626</v>
      </c>
      <c r="H267">
        <v>153</v>
      </c>
      <c r="I267">
        <v>86</v>
      </c>
      <c r="J267">
        <v>11</v>
      </c>
    </row>
    <row r="268" spans="1:10">
      <c r="A268" t="s">
        <v>30</v>
      </c>
      <c r="B268">
        <v>87</v>
      </c>
      <c r="C268" t="s">
        <v>519</v>
      </c>
      <c r="D268">
        <v>261</v>
      </c>
      <c r="E268">
        <v>1566</v>
      </c>
      <c r="F268">
        <v>208844</v>
      </c>
      <c r="G268">
        <v>1651</v>
      </c>
      <c r="H268">
        <v>155</v>
      </c>
      <c r="I268">
        <v>87</v>
      </c>
      <c r="J268">
        <v>11</v>
      </c>
    </row>
    <row r="269" spans="1:10">
      <c r="A269" t="s">
        <v>30</v>
      </c>
      <c r="B269">
        <v>88</v>
      </c>
      <c r="C269" t="s">
        <v>520</v>
      </c>
      <c r="D269">
        <v>264</v>
      </c>
      <c r="E269">
        <v>1584</v>
      </c>
      <c r="F269">
        <v>211410</v>
      </c>
      <c r="G269">
        <v>1671</v>
      </c>
      <c r="H269">
        <v>156</v>
      </c>
      <c r="I269">
        <v>88</v>
      </c>
      <c r="J269">
        <v>11</v>
      </c>
    </row>
    <row r="270" spans="1:10">
      <c r="A270" t="s">
        <v>30</v>
      </c>
      <c r="B270">
        <v>89</v>
      </c>
      <c r="C270" t="s">
        <v>521</v>
      </c>
      <c r="D270">
        <v>267</v>
      </c>
      <c r="E270">
        <v>1602</v>
      </c>
      <c r="F270">
        <v>212996</v>
      </c>
      <c r="G270">
        <v>1674</v>
      </c>
      <c r="H270">
        <v>159</v>
      </c>
      <c r="I270">
        <v>89</v>
      </c>
      <c r="J270">
        <v>11</v>
      </c>
    </row>
    <row r="271" spans="1:10">
      <c r="A271" t="s">
        <v>30</v>
      </c>
      <c r="B271">
        <v>90</v>
      </c>
      <c r="C271" t="s">
        <v>522</v>
      </c>
      <c r="D271">
        <v>270</v>
      </c>
      <c r="E271">
        <v>1620</v>
      </c>
      <c r="F271">
        <v>215526</v>
      </c>
      <c r="G271">
        <v>1677</v>
      </c>
      <c r="H271">
        <v>161</v>
      </c>
      <c r="I271">
        <v>90</v>
      </c>
      <c r="J271">
        <v>11</v>
      </c>
    </row>
    <row r="272" spans="1:10">
      <c r="A272" t="s">
        <v>31</v>
      </c>
      <c r="B272">
        <v>1</v>
      </c>
      <c r="C272" t="s">
        <v>433</v>
      </c>
      <c r="D272">
        <v>6</v>
      </c>
      <c r="E272">
        <v>36</v>
      </c>
      <c r="F272">
        <v>3845</v>
      </c>
      <c r="G272">
        <v>101</v>
      </c>
      <c r="H272">
        <v>1</v>
      </c>
      <c r="I272">
        <v>1</v>
      </c>
      <c r="J272">
        <v>0</v>
      </c>
    </row>
    <row r="273" spans="1:10">
      <c r="A273" t="s">
        <v>31</v>
      </c>
      <c r="B273">
        <v>2</v>
      </c>
      <c r="C273" t="s">
        <v>434</v>
      </c>
      <c r="D273">
        <v>12</v>
      </c>
      <c r="E273">
        <v>72</v>
      </c>
      <c r="F273">
        <v>9276</v>
      </c>
      <c r="G273">
        <v>184</v>
      </c>
      <c r="H273">
        <v>5</v>
      </c>
      <c r="I273">
        <v>2</v>
      </c>
      <c r="J273">
        <v>0</v>
      </c>
    </row>
    <row r="274" spans="1:10">
      <c r="A274" t="s">
        <v>31</v>
      </c>
      <c r="B274">
        <v>3</v>
      </c>
      <c r="C274" t="s">
        <v>435</v>
      </c>
      <c r="D274">
        <v>18</v>
      </c>
      <c r="E274">
        <v>108</v>
      </c>
      <c r="F274">
        <v>13424</v>
      </c>
      <c r="G274">
        <v>227</v>
      </c>
      <c r="H274">
        <v>8</v>
      </c>
      <c r="I274">
        <v>3</v>
      </c>
      <c r="J274">
        <v>0</v>
      </c>
    </row>
    <row r="275" spans="1:10">
      <c r="A275" t="s">
        <v>31</v>
      </c>
      <c r="B275">
        <v>4</v>
      </c>
      <c r="C275" t="s">
        <v>436</v>
      </c>
      <c r="D275">
        <v>24</v>
      </c>
      <c r="E275">
        <v>144</v>
      </c>
      <c r="F275">
        <v>18388</v>
      </c>
      <c r="G275">
        <v>273</v>
      </c>
      <c r="H275">
        <v>12</v>
      </c>
      <c r="I275">
        <v>4</v>
      </c>
      <c r="J275">
        <v>1</v>
      </c>
    </row>
    <row r="276" spans="1:10">
      <c r="A276" t="s">
        <v>31</v>
      </c>
      <c r="B276">
        <v>5</v>
      </c>
      <c r="C276" t="s">
        <v>437</v>
      </c>
      <c r="D276">
        <v>30</v>
      </c>
      <c r="E276">
        <v>180</v>
      </c>
      <c r="F276">
        <v>22723</v>
      </c>
      <c r="G276">
        <v>312</v>
      </c>
      <c r="H276">
        <v>16</v>
      </c>
      <c r="I276">
        <v>5</v>
      </c>
      <c r="J276">
        <v>1</v>
      </c>
    </row>
    <row r="277" spans="1:10">
      <c r="A277" t="s">
        <v>31</v>
      </c>
      <c r="B277">
        <v>6</v>
      </c>
      <c r="C277" t="s">
        <v>438</v>
      </c>
      <c r="D277">
        <v>36</v>
      </c>
      <c r="E277">
        <v>216</v>
      </c>
      <c r="F277">
        <v>28649</v>
      </c>
      <c r="G277">
        <v>375</v>
      </c>
      <c r="H277">
        <v>17</v>
      </c>
      <c r="I277">
        <v>6</v>
      </c>
      <c r="J277">
        <v>1</v>
      </c>
    </row>
    <row r="278" spans="1:10">
      <c r="A278" t="s">
        <v>31</v>
      </c>
      <c r="B278">
        <v>7</v>
      </c>
      <c r="C278" t="s">
        <v>439</v>
      </c>
      <c r="D278">
        <v>42</v>
      </c>
      <c r="E278">
        <v>252</v>
      </c>
      <c r="F278">
        <v>32976</v>
      </c>
      <c r="G278">
        <v>434</v>
      </c>
      <c r="H278">
        <v>20</v>
      </c>
      <c r="I278">
        <v>7</v>
      </c>
      <c r="J278">
        <v>2</v>
      </c>
    </row>
    <row r="279" spans="1:10">
      <c r="A279" t="s">
        <v>31</v>
      </c>
      <c r="B279">
        <v>8</v>
      </c>
      <c r="C279" t="s">
        <v>440</v>
      </c>
      <c r="D279">
        <v>48</v>
      </c>
      <c r="E279">
        <v>288</v>
      </c>
      <c r="F279">
        <v>36904</v>
      </c>
      <c r="G279">
        <v>460</v>
      </c>
      <c r="H279">
        <v>23</v>
      </c>
      <c r="I279">
        <v>8</v>
      </c>
      <c r="J279">
        <v>2</v>
      </c>
    </row>
    <row r="280" spans="1:10">
      <c r="A280" t="s">
        <v>31</v>
      </c>
      <c r="B280">
        <v>9</v>
      </c>
      <c r="C280" t="s">
        <v>441</v>
      </c>
      <c r="D280">
        <v>54</v>
      </c>
      <c r="E280">
        <v>324</v>
      </c>
      <c r="F280">
        <v>42214</v>
      </c>
      <c r="G280">
        <v>488</v>
      </c>
      <c r="H280">
        <v>25</v>
      </c>
      <c r="I280">
        <v>9</v>
      </c>
      <c r="J280">
        <v>2</v>
      </c>
    </row>
    <row r="281" spans="1:10">
      <c r="A281" t="s">
        <v>31</v>
      </c>
      <c r="B281">
        <v>10</v>
      </c>
      <c r="C281" t="s">
        <v>442</v>
      </c>
      <c r="D281">
        <v>60</v>
      </c>
      <c r="E281">
        <v>360</v>
      </c>
      <c r="F281">
        <v>48293</v>
      </c>
      <c r="G281">
        <v>547</v>
      </c>
      <c r="H281">
        <v>28</v>
      </c>
      <c r="I281">
        <v>10</v>
      </c>
      <c r="J281">
        <v>3</v>
      </c>
    </row>
    <row r="282" spans="1:10">
      <c r="A282" t="s">
        <v>31</v>
      </c>
      <c r="B282">
        <v>11</v>
      </c>
      <c r="C282" t="s">
        <v>443</v>
      </c>
      <c r="D282">
        <v>66</v>
      </c>
      <c r="E282">
        <v>396</v>
      </c>
      <c r="F282">
        <v>53029</v>
      </c>
      <c r="G282">
        <v>563</v>
      </c>
      <c r="H282">
        <v>31</v>
      </c>
      <c r="I282">
        <v>11</v>
      </c>
      <c r="J282">
        <v>3</v>
      </c>
    </row>
    <row r="283" spans="1:10">
      <c r="A283" t="s">
        <v>31</v>
      </c>
      <c r="B283">
        <v>12</v>
      </c>
      <c r="C283" t="s">
        <v>444</v>
      </c>
      <c r="D283">
        <v>72</v>
      </c>
      <c r="E283">
        <v>432</v>
      </c>
      <c r="F283">
        <v>57918</v>
      </c>
      <c r="G283">
        <v>576</v>
      </c>
      <c r="H283">
        <v>33</v>
      </c>
      <c r="I283">
        <v>12</v>
      </c>
      <c r="J283">
        <v>3</v>
      </c>
    </row>
    <row r="284" spans="1:10">
      <c r="A284" t="s">
        <v>31</v>
      </c>
      <c r="B284">
        <v>13</v>
      </c>
      <c r="C284" t="s">
        <v>445</v>
      </c>
      <c r="D284">
        <v>78</v>
      </c>
      <c r="E284">
        <v>468</v>
      </c>
      <c r="F284">
        <v>62121</v>
      </c>
      <c r="G284">
        <v>584</v>
      </c>
      <c r="H284">
        <v>35</v>
      </c>
      <c r="I284">
        <v>13</v>
      </c>
      <c r="J284">
        <v>3</v>
      </c>
    </row>
    <row r="285" spans="1:10">
      <c r="A285" t="s">
        <v>31</v>
      </c>
      <c r="B285">
        <v>14</v>
      </c>
      <c r="C285" t="s">
        <v>446</v>
      </c>
      <c r="D285">
        <v>84</v>
      </c>
      <c r="E285">
        <v>504</v>
      </c>
      <c r="F285">
        <v>66873</v>
      </c>
      <c r="G285">
        <v>645</v>
      </c>
      <c r="H285">
        <v>37</v>
      </c>
      <c r="I285">
        <v>14</v>
      </c>
      <c r="J285">
        <v>4</v>
      </c>
    </row>
    <row r="286" spans="1:10">
      <c r="A286" t="s">
        <v>31</v>
      </c>
      <c r="B286">
        <v>15</v>
      </c>
      <c r="C286" t="s">
        <v>447</v>
      </c>
      <c r="D286">
        <v>90</v>
      </c>
      <c r="E286">
        <v>540</v>
      </c>
      <c r="F286">
        <v>71092</v>
      </c>
      <c r="G286">
        <v>669</v>
      </c>
      <c r="H286">
        <v>40</v>
      </c>
      <c r="I286">
        <v>15</v>
      </c>
      <c r="J286">
        <v>4</v>
      </c>
    </row>
    <row r="287" spans="1:10">
      <c r="A287" t="s">
        <v>31</v>
      </c>
      <c r="B287">
        <v>16</v>
      </c>
      <c r="C287" t="s">
        <v>448</v>
      </c>
      <c r="D287">
        <v>96</v>
      </c>
      <c r="E287">
        <v>576</v>
      </c>
      <c r="F287">
        <v>76425</v>
      </c>
      <c r="G287">
        <v>710</v>
      </c>
      <c r="H287">
        <v>43</v>
      </c>
      <c r="I287">
        <v>16</v>
      </c>
      <c r="J287">
        <v>4</v>
      </c>
    </row>
    <row r="288" spans="1:10">
      <c r="A288" t="s">
        <v>31</v>
      </c>
      <c r="B288">
        <v>17</v>
      </c>
      <c r="C288" t="s">
        <v>449</v>
      </c>
      <c r="D288">
        <v>102</v>
      </c>
      <c r="E288">
        <v>612</v>
      </c>
      <c r="F288">
        <v>81970</v>
      </c>
      <c r="G288">
        <v>739</v>
      </c>
      <c r="H288">
        <v>46</v>
      </c>
      <c r="I288">
        <v>17</v>
      </c>
      <c r="J288">
        <v>5</v>
      </c>
    </row>
    <row r="289" spans="1:10">
      <c r="A289" t="s">
        <v>31</v>
      </c>
      <c r="B289">
        <v>18</v>
      </c>
      <c r="C289" t="s">
        <v>450</v>
      </c>
      <c r="D289">
        <v>108</v>
      </c>
      <c r="E289">
        <v>648</v>
      </c>
      <c r="F289">
        <v>85923</v>
      </c>
      <c r="G289">
        <v>750</v>
      </c>
      <c r="H289">
        <v>48</v>
      </c>
      <c r="I289">
        <v>18</v>
      </c>
      <c r="J289">
        <v>5</v>
      </c>
    </row>
    <row r="290" spans="1:10">
      <c r="A290" t="s">
        <v>31</v>
      </c>
      <c r="B290">
        <v>19</v>
      </c>
      <c r="C290" t="s">
        <v>451</v>
      </c>
      <c r="D290">
        <v>114</v>
      </c>
      <c r="E290">
        <v>684</v>
      </c>
      <c r="F290">
        <v>91818</v>
      </c>
      <c r="G290">
        <v>768</v>
      </c>
      <c r="H290">
        <v>51</v>
      </c>
      <c r="I290">
        <v>19</v>
      </c>
      <c r="J290">
        <v>5</v>
      </c>
    </row>
    <row r="291" spans="1:10">
      <c r="A291" t="s">
        <v>31</v>
      </c>
      <c r="B291">
        <v>20</v>
      </c>
      <c r="C291" t="s">
        <v>452</v>
      </c>
      <c r="D291">
        <v>120</v>
      </c>
      <c r="E291">
        <v>720</v>
      </c>
      <c r="F291">
        <v>100142</v>
      </c>
      <c r="G291">
        <v>812</v>
      </c>
      <c r="H291">
        <v>54</v>
      </c>
      <c r="I291">
        <v>20</v>
      </c>
      <c r="J291">
        <v>6</v>
      </c>
    </row>
    <row r="292" spans="1:10">
      <c r="A292" t="s">
        <v>31</v>
      </c>
      <c r="B292">
        <v>21</v>
      </c>
      <c r="C292" t="s">
        <v>453</v>
      </c>
      <c r="D292">
        <v>126</v>
      </c>
      <c r="E292">
        <v>756</v>
      </c>
      <c r="F292">
        <v>106321</v>
      </c>
      <c r="G292">
        <v>850</v>
      </c>
      <c r="H292">
        <v>56</v>
      </c>
      <c r="I292">
        <v>21</v>
      </c>
      <c r="J292">
        <v>6</v>
      </c>
    </row>
    <row r="293" spans="1:10">
      <c r="A293" t="s">
        <v>31</v>
      </c>
      <c r="B293">
        <v>22</v>
      </c>
      <c r="C293" t="s">
        <v>454</v>
      </c>
      <c r="D293">
        <v>132</v>
      </c>
      <c r="E293">
        <v>792</v>
      </c>
      <c r="F293">
        <v>109997</v>
      </c>
      <c r="G293">
        <v>866</v>
      </c>
      <c r="H293">
        <v>57</v>
      </c>
      <c r="I293">
        <v>22</v>
      </c>
      <c r="J293">
        <v>6</v>
      </c>
    </row>
    <row r="294" spans="1:10">
      <c r="A294" t="s">
        <v>31</v>
      </c>
      <c r="B294">
        <v>23</v>
      </c>
      <c r="C294" t="s">
        <v>455</v>
      </c>
      <c r="D294">
        <v>138</v>
      </c>
      <c r="E294">
        <v>828</v>
      </c>
      <c r="F294">
        <v>115809</v>
      </c>
      <c r="G294">
        <v>917</v>
      </c>
      <c r="H294">
        <v>59</v>
      </c>
      <c r="I294">
        <v>23</v>
      </c>
      <c r="J294">
        <v>7</v>
      </c>
    </row>
    <row r="295" spans="1:10">
      <c r="A295" t="s">
        <v>31</v>
      </c>
      <c r="B295">
        <v>24</v>
      </c>
      <c r="C295" t="s">
        <v>456</v>
      </c>
      <c r="D295">
        <v>144</v>
      </c>
      <c r="E295">
        <v>864</v>
      </c>
      <c r="F295">
        <v>119762</v>
      </c>
      <c r="G295">
        <v>938</v>
      </c>
      <c r="H295">
        <v>62</v>
      </c>
      <c r="I295">
        <v>24</v>
      </c>
      <c r="J295">
        <v>7</v>
      </c>
    </row>
    <row r="296" spans="1:10">
      <c r="A296" t="s">
        <v>31</v>
      </c>
      <c r="B296">
        <v>25</v>
      </c>
      <c r="C296" t="s">
        <v>457</v>
      </c>
      <c r="D296">
        <v>150</v>
      </c>
      <c r="E296">
        <v>900</v>
      </c>
      <c r="F296">
        <v>124096</v>
      </c>
      <c r="G296">
        <v>954</v>
      </c>
      <c r="H296">
        <v>64</v>
      </c>
      <c r="I296">
        <v>25</v>
      </c>
      <c r="J296">
        <v>7</v>
      </c>
    </row>
    <row r="297" spans="1:10">
      <c r="A297" t="s">
        <v>31</v>
      </c>
      <c r="B297">
        <v>26</v>
      </c>
      <c r="C297" t="s">
        <v>458</v>
      </c>
      <c r="D297">
        <v>156</v>
      </c>
      <c r="E297">
        <v>936</v>
      </c>
      <c r="F297">
        <v>128481</v>
      </c>
      <c r="G297">
        <v>960</v>
      </c>
      <c r="H297">
        <v>67</v>
      </c>
      <c r="I297">
        <v>26</v>
      </c>
      <c r="J297">
        <v>7</v>
      </c>
    </row>
    <row r="298" spans="1:10">
      <c r="A298" t="s">
        <v>31</v>
      </c>
      <c r="B298">
        <v>27</v>
      </c>
      <c r="C298" t="s">
        <v>459</v>
      </c>
      <c r="D298">
        <v>162</v>
      </c>
      <c r="E298">
        <v>972</v>
      </c>
      <c r="F298">
        <v>133971</v>
      </c>
      <c r="G298">
        <v>989</v>
      </c>
      <c r="H298">
        <v>70</v>
      </c>
      <c r="I298">
        <v>27</v>
      </c>
      <c r="J298">
        <v>8</v>
      </c>
    </row>
    <row r="299" spans="1:10">
      <c r="A299" t="s">
        <v>31</v>
      </c>
      <c r="B299">
        <v>28</v>
      </c>
      <c r="C299" t="s">
        <v>460</v>
      </c>
      <c r="D299">
        <v>168</v>
      </c>
      <c r="E299">
        <v>1008</v>
      </c>
      <c r="F299">
        <v>138030</v>
      </c>
      <c r="G299">
        <v>1019</v>
      </c>
      <c r="H299">
        <v>72</v>
      </c>
      <c r="I299">
        <v>28</v>
      </c>
      <c r="J299">
        <v>8</v>
      </c>
    </row>
    <row r="300" spans="1:10">
      <c r="A300" t="s">
        <v>31</v>
      </c>
      <c r="B300">
        <v>29</v>
      </c>
      <c r="C300" t="s">
        <v>461</v>
      </c>
      <c r="D300">
        <v>174</v>
      </c>
      <c r="E300">
        <v>1044</v>
      </c>
      <c r="F300">
        <v>144594</v>
      </c>
      <c r="G300">
        <v>1038</v>
      </c>
      <c r="H300">
        <v>75</v>
      </c>
      <c r="I300">
        <v>29</v>
      </c>
      <c r="J300">
        <v>8</v>
      </c>
    </row>
    <row r="301" spans="1:10">
      <c r="A301" t="s">
        <v>31</v>
      </c>
      <c r="B301">
        <v>30</v>
      </c>
      <c r="C301" t="s">
        <v>462</v>
      </c>
      <c r="D301">
        <v>180</v>
      </c>
      <c r="E301">
        <v>1080</v>
      </c>
      <c r="F301">
        <v>150032</v>
      </c>
      <c r="G301">
        <v>1089</v>
      </c>
      <c r="H301">
        <v>76</v>
      </c>
      <c r="I301">
        <v>30</v>
      </c>
      <c r="J301">
        <v>9</v>
      </c>
    </row>
    <row r="302" spans="1:10">
      <c r="A302" t="s">
        <v>31</v>
      </c>
      <c r="B302">
        <v>31</v>
      </c>
      <c r="C302" t="s">
        <v>463</v>
      </c>
      <c r="D302">
        <v>186</v>
      </c>
      <c r="E302">
        <v>1116</v>
      </c>
      <c r="F302">
        <v>153564</v>
      </c>
      <c r="G302">
        <v>1105</v>
      </c>
      <c r="H302">
        <v>78</v>
      </c>
      <c r="I302">
        <v>31</v>
      </c>
      <c r="J302">
        <v>9</v>
      </c>
    </row>
    <row r="303" spans="1:10">
      <c r="A303" t="s">
        <v>31</v>
      </c>
      <c r="B303">
        <v>32</v>
      </c>
      <c r="C303" t="s">
        <v>464</v>
      </c>
      <c r="D303">
        <v>192</v>
      </c>
      <c r="E303">
        <v>1152</v>
      </c>
      <c r="F303">
        <v>157771</v>
      </c>
      <c r="G303">
        <v>1123</v>
      </c>
      <c r="H303">
        <v>79</v>
      </c>
      <c r="I303">
        <v>32</v>
      </c>
      <c r="J303">
        <v>9</v>
      </c>
    </row>
    <row r="304" spans="1:10">
      <c r="A304" t="s">
        <v>31</v>
      </c>
      <c r="B304">
        <v>33</v>
      </c>
      <c r="C304" t="s">
        <v>465</v>
      </c>
      <c r="D304">
        <v>198</v>
      </c>
      <c r="E304">
        <v>1188</v>
      </c>
      <c r="F304">
        <v>163572</v>
      </c>
      <c r="G304">
        <v>1147</v>
      </c>
      <c r="H304">
        <v>83</v>
      </c>
      <c r="I304">
        <v>33</v>
      </c>
      <c r="J304">
        <v>10</v>
      </c>
    </row>
    <row r="305" spans="1:10">
      <c r="A305" t="s">
        <v>31</v>
      </c>
      <c r="B305">
        <v>34</v>
      </c>
      <c r="C305" t="s">
        <v>466</v>
      </c>
      <c r="D305">
        <v>204</v>
      </c>
      <c r="E305">
        <v>1224</v>
      </c>
      <c r="F305">
        <v>169448</v>
      </c>
      <c r="G305">
        <v>1158</v>
      </c>
      <c r="H305">
        <v>85</v>
      </c>
      <c r="I305">
        <v>34</v>
      </c>
      <c r="J305">
        <v>10</v>
      </c>
    </row>
    <row r="306" spans="1:10">
      <c r="A306" t="s">
        <v>31</v>
      </c>
      <c r="B306">
        <v>35</v>
      </c>
      <c r="C306" t="s">
        <v>467</v>
      </c>
      <c r="D306">
        <v>210</v>
      </c>
      <c r="E306">
        <v>1260</v>
      </c>
      <c r="F306">
        <v>175562</v>
      </c>
      <c r="G306">
        <v>1202</v>
      </c>
      <c r="H306">
        <v>88</v>
      </c>
      <c r="I306">
        <v>35</v>
      </c>
      <c r="J306">
        <v>10</v>
      </c>
    </row>
    <row r="307" spans="1:10">
      <c r="A307" t="s">
        <v>31</v>
      </c>
      <c r="B307">
        <v>36</v>
      </c>
      <c r="C307" t="s">
        <v>468</v>
      </c>
      <c r="D307">
        <v>216</v>
      </c>
      <c r="E307">
        <v>1296</v>
      </c>
      <c r="F307">
        <v>180450</v>
      </c>
      <c r="G307">
        <v>1230</v>
      </c>
      <c r="H307">
        <v>90</v>
      </c>
      <c r="I307">
        <v>36</v>
      </c>
      <c r="J307">
        <v>10</v>
      </c>
    </row>
    <row r="308" spans="1:10">
      <c r="A308" t="s">
        <v>31</v>
      </c>
      <c r="B308">
        <v>37</v>
      </c>
      <c r="C308" t="s">
        <v>469</v>
      </c>
      <c r="D308">
        <v>222</v>
      </c>
      <c r="E308">
        <v>1332</v>
      </c>
      <c r="F308">
        <v>187599</v>
      </c>
      <c r="G308">
        <v>1264</v>
      </c>
      <c r="H308">
        <v>93</v>
      </c>
      <c r="I308">
        <v>37</v>
      </c>
      <c r="J308">
        <v>11</v>
      </c>
    </row>
    <row r="309" spans="1:10">
      <c r="A309" t="s">
        <v>31</v>
      </c>
      <c r="B309">
        <v>38</v>
      </c>
      <c r="C309" t="s">
        <v>470</v>
      </c>
      <c r="D309">
        <v>228</v>
      </c>
      <c r="E309">
        <v>1368</v>
      </c>
      <c r="F309">
        <v>192614</v>
      </c>
      <c r="G309">
        <v>1280</v>
      </c>
      <c r="H309">
        <v>95</v>
      </c>
      <c r="I309">
        <v>38</v>
      </c>
      <c r="J309">
        <v>11</v>
      </c>
    </row>
    <row r="310" spans="1:10">
      <c r="A310" t="s">
        <v>31</v>
      </c>
      <c r="B310">
        <v>39</v>
      </c>
      <c r="C310" t="s">
        <v>471</v>
      </c>
      <c r="D310">
        <v>234</v>
      </c>
      <c r="E310">
        <v>1404</v>
      </c>
      <c r="F310">
        <v>197456</v>
      </c>
      <c r="G310">
        <v>1296</v>
      </c>
      <c r="H310">
        <v>97</v>
      </c>
      <c r="I310">
        <v>39</v>
      </c>
      <c r="J310">
        <v>11</v>
      </c>
    </row>
    <row r="311" spans="1:10">
      <c r="A311" t="s">
        <v>31</v>
      </c>
      <c r="B311">
        <v>40</v>
      </c>
      <c r="C311" t="s">
        <v>472</v>
      </c>
      <c r="D311">
        <v>240</v>
      </c>
      <c r="E311">
        <v>1440</v>
      </c>
      <c r="F311">
        <v>201786</v>
      </c>
      <c r="G311">
        <v>1319</v>
      </c>
      <c r="H311">
        <v>100</v>
      </c>
      <c r="I311">
        <v>40</v>
      </c>
      <c r="J311">
        <v>12</v>
      </c>
    </row>
    <row r="312" spans="1:10">
      <c r="A312" t="s">
        <v>31</v>
      </c>
      <c r="B312">
        <v>41</v>
      </c>
      <c r="C312" t="s">
        <v>473</v>
      </c>
      <c r="D312">
        <v>246</v>
      </c>
      <c r="E312">
        <v>1476</v>
      </c>
      <c r="F312">
        <v>205918</v>
      </c>
      <c r="G312">
        <v>1328</v>
      </c>
      <c r="H312">
        <v>103</v>
      </c>
      <c r="I312">
        <v>41</v>
      </c>
      <c r="J312">
        <v>12</v>
      </c>
    </row>
    <row r="313" spans="1:10">
      <c r="A313" t="s">
        <v>31</v>
      </c>
      <c r="B313">
        <v>42</v>
      </c>
      <c r="C313" t="s">
        <v>474</v>
      </c>
      <c r="D313">
        <v>252</v>
      </c>
      <c r="E313">
        <v>1512</v>
      </c>
      <c r="F313">
        <v>209774</v>
      </c>
      <c r="G313">
        <v>1359</v>
      </c>
      <c r="H313">
        <v>105</v>
      </c>
      <c r="I313">
        <v>42</v>
      </c>
      <c r="J313">
        <v>12</v>
      </c>
    </row>
    <row r="314" spans="1:10">
      <c r="A314" t="s">
        <v>31</v>
      </c>
      <c r="B314">
        <v>43</v>
      </c>
      <c r="C314" t="s">
        <v>475</v>
      </c>
      <c r="D314">
        <v>258</v>
      </c>
      <c r="E314">
        <v>1548</v>
      </c>
      <c r="F314">
        <v>213395</v>
      </c>
      <c r="G314">
        <v>1385</v>
      </c>
      <c r="H314">
        <v>107</v>
      </c>
      <c r="I314">
        <v>43</v>
      </c>
      <c r="J314">
        <v>12</v>
      </c>
    </row>
    <row r="315" spans="1:10">
      <c r="A315" t="s">
        <v>31</v>
      </c>
      <c r="B315">
        <v>44</v>
      </c>
      <c r="C315" t="s">
        <v>476</v>
      </c>
      <c r="D315">
        <v>264</v>
      </c>
      <c r="E315">
        <v>1584</v>
      </c>
      <c r="F315">
        <v>216348</v>
      </c>
      <c r="G315">
        <v>1398</v>
      </c>
      <c r="H315">
        <v>109</v>
      </c>
      <c r="I315">
        <v>44</v>
      </c>
      <c r="J315">
        <v>12</v>
      </c>
    </row>
    <row r="316" spans="1:10">
      <c r="A316" t="s">
        <v>31</v>
      </c>
      <c r="B316">
        <v>45</v>
      </c>
      <c r="C316" t="s">
        <v>477</v>
      </c>
      <c r="D316">
        <v>270</v>
      </c>
      <c r="E316">
        <v>1620</v>
      </c>
      <c r="F316">
        <v>219478</v>
      </c>
      <c r="G316">
        <v>1414</v>
      </c>
      <c r="H316">
        <v>112</v>
      </c>
      <c r="I316">
        <v>45</v>
      </c>
      <c r="J316">
        <v>12</v>
      </c>
    </row>
    <row r="317" spans="1:10">
      <c r="A317" t="s">
        <v>31</v>
      </c>
      <c r="B317">
        <v>46</v>
      </c>
      <c r="C317" t="s">
        <v>478</v>
      </c>
      <c r="D317">
        <v>276</v>
      </c>
      <c r="E317">
        <v>1656</v>
      </c>
      <c r="F317">
        <v>222485</v>
      </c>
      <c r="G317">
        <v>1420</v>
      </c>
      <c r="H317">
        <v>114</v>
      </c>
      <c r="I317">
        <v>46</v>
      </c>
      <c r="J317">
        <v>12</v>
      </c>
    </row>
    <row r="318" spans="1:10">
      <c r="A318" t="s">
        <v>31</v>
      </c>
      <c r="B318">
        <v>47</v>
      </c>
      <c r="C318" t="s">
        <v>479</v>
      </c>
      <c r="D318">
        <v>282</v>
      </c>
      <c r="E318">
        <v>1692</v>
      </c>
      <c r="F318">
        <v>225636</v>
      </c>
      <c r="G318">
        <v>1423</v>
      </c>
      <c r="H318">
        <v>117</v>
      </c>
      <c r="I318">
        <v>47</v>
      </c>
      <c r="J318">
        <v>12</v>
      </c>
    </row>
    <row r="319" spans="1:10">
      <c r="A319" t="s">
        <v>31</v>
      </c>
      <c r="B319">
        <v>48</v>
      </c>
      <c r="C319" t="s">
        <v>480</v>
      </c>
      <c r="D319">
        <v>288</v>
      </c>
      <c r="E319">
        <v>1728</v>
      </c>
      <c r="F319">
        <v>229203</v>
      </c>
      <c r="G319">
        <v>1429</v>
      </c>
      <c r="H319">
        <v>119</v>
      </c>
      <c r="I319">
        <v>48</v>
      </c>
      <c r="J319">
        <v>12</v>
      </c>
    </row>
    <row r="320" spans="1:10">
      <c r="A320" t="s">
        <v>31</v>
      </c>
      <c r="B320">
        <v>49</v>
      </c>
      <c r="C320" t="s">
        <v>481</v>
      </c>
      <c r="D320">
        <v>294</v>
      </c>
      <c r="E320">
        <v>1764</v>
      </c>
      <c r="F320">
        <v>232323</v>
      </c>
      <c r="G320">
        <v>1460</v>
      </c>
      <c r="H320">
        <v>120</v>
      </c>
      <c r="I320">
        <v>49</v>
      </c>
      <c r="J320">
        <v>12</v>
      </c>
    </row>
    <row r="321" spans="1:10">
      <c r="A321" t="s">
        <v>31</v>
      </c>
      <c r="B321">
        <v>50</v>
      </c>
      <c r="C321" t="s">
        <v>482</v>
      </c>
      <c r="D321">
        <v>300</v>
      </c>
      <c r="E321">
        <v>1800</v>
      </c>
      <c r="F321">
        <v>234813</v>
      </c>
      <c r="G321">
        <v>1466</v>
      </c>
      <c r="H321">
        <v>122</v>
      </c>
      <c r="I321">
        <v>50</v>
      </c>
      <c r="J321">
        <v>12</v>
      </c>
    </row>
    <row r="322" spans="1:10">
      <c r="A322" t="s">
        <v>31</v>
      </c>
      <c r="B322">
        <v>51</v>
      </c>
      <c r="C322" t="s">
        <v>483</v>
      </c>
      <c r="D322">
        <v>306</v>
      </c>
      <c r="E322">
        <v>1836</v>
      </c>
      <c r="F322">
        <v>238399</v>
      </c>
      <c r="G322">
        <v>1494</v>
      </c>
      <c r="H322">
        <v>123</v>
      </c>
      <c r="I322">
        <v>51</v>
      </c>
      <c r="J322">
        <v>12</v>
      </c>
    </row>
    <row r="323" spans="1:10">
      <c r="A323" t="s">
        <v>31</v>
      </c>
      <c r="B323">
        <v>52</v>
      </c>
      <c r="C323" t="s">
        <v>484</v>
      </c>
      <c r="D323">
        <v>312</v>
      </c>
      <c r="E323">
        <v>1872</v>
      </c>
      <c r="F323">
        <v>241848</v>
      </c>
      <c r="G323">
        <v>1505</v>
      </c>
      <c r="H323">
        <v>125</v>
      </c>
      <c r="I323">
        <v>52</v>
      </c>
      <c r="J323">
        <v>12</v>
      </c>
    </row>
    <row r="324" spans="1:10">
      <c r="A324" t="s">
        <v>31</v>
      </c>
      <c r="B324">
        <v>53</v>
      </c>
      <c r="C324" t="s">
        <v>485</v>
      </c>
      <c r="D324">
        <v>318</v>
      </c>
      <c r="E324">
        <v>1908</v>
      </c>
      <c r="F324">
        <v>245379</v>
      </c>
      <c r="G324">
        <v>1521</v>
      </c>
      <c r="H324">
        <v>127</v>
      </c>
      <c r="I324">
        <v>53</v>
      </c>
      <c r="J324">
        <v>12</v>
      </c>
    </row>
    <row r="325" spans="1:10">
      <c r="A325" t="s">
        <v>31</v>
      </c>
      <c r="B325">
        <v>54</v>
      </c>
      <c r="C325" t="s">
        <v>486</v>
      </c>
      <c r="D325">
        <v>324</v>
      </c>
      <c r="E325">
        <v>1944</v>
      </c>
      <c r="F325">
        <v>248436</v>
      </c>
      <c r="G325">
        <v>1527</v>
      </c>
      <c r="H325">
        <v>130</v>
      </c>
      <c r="I325">
        <v>54</v>
      </c>
      <c r="J325">
        <v>12</v>
      </c>
    </row>
    <row r="326" spans="1:10">
      <c r="A326" t="s">
        <v>31</v>
      </c>
      <c r="B326">
        <v>55</v>
      </c>
      <c r="C326" t="s">
        <v>487</v>
      </c>
      <c r="D326">
        <v>330</v>
      </c>
      <c r="E326">
        <v>1980</v>
      </c>
      <c r="F326">
        <v>252090</v>
      </c>
      <c r="G326">
        <v>1536</v>
      </c>
      <c r="H326">
        <v>133</v>
      </c>
      <c r="I326">
        <v>55</v>
      </c>
      <c r="J326">
        <v>12</v>
      </c>
    </row>
    <row r="327" spans="1:10">
      <c r="A327" t="s">
        <v>31</v>
      </c>
      <c r="B327">
        <v>56</v>
      </c>
      <c r="C327" t="s">
        <v>488</v>
      </c>
      <c r="D327">
        <v>336</v>
      </c>
      <c r="E327">
        <v>2016</v>
      </c>
      <c r="F327">
        <v>256451</v>
      </c>
      <c r="G327">
        <v>1569</v>
      </c>
      <c r="H327">
        <v>134</v>
      </c>
      <c r="I327">
        <v>56</v>
      </c>
      <c r="J327">
        <v>12</v>
      </c>
    </row>
    <row r="328" spans="1:10">
      <c r="A328" t="s">
        <v>31</v>
      </c>
      <c r="B328">
        <v>57</v>
      </c>
      <c r="C328" t="s">
        <v>489</v>
      </c>
      <c r="D328">
        <v>342</v>
      </c>
      <c r="E328">
        <v>2052</v>
      </c>
      <c r="F328">
        <v>258836</v>
      </c>
      <c r="G328">
        <v>1575</v>
      </c>
      <c r="H328">
        <v>136</v>
      </c>
      <c r="I328">
        <v>57</v>
      </c>
      <c r="J328">
        <v>12</v>
      </c>
    </row>
    <row r="329" spans="1:10">
      <c r="A329" t="s">
        <v>31</v>
      </c>
      <c r="B329">
        <v>58</v>
      </c>
      <c r="C329" t="s">
        <v>490</v>
      </c>
      <c r="D329">
        <v>348</v>
      </c>
      <c r="E329">
        <v>2088</v>
      </c>
      <c r="F329">
        <v>264426</v>
      </c>
      <c r="G329">
        <v>1604</v>
      </c>
      <c r="H329">
        <v>139</v>
      </c>
      <c r="I329">
        <v>58</v>
      </c>
      <c r="J329">
        <v>12</v>
      </c>
    </row>
    <row r="330" spans="1:10">
      <c r="A330" t="s">
        <v>31</v>
      </c>
      <c r="B330">
        <v>59</v>
      </c>
      <c r="C330" t="s">
        <v>491</v>
      </c>
      <c r="D330">
        <v>354</v>
      </c>
      <c r="E330">
        <v>2124</v>
      </c>
      <c r="F330">
        <v>268509</v>
      </c>
      <c r="G330">
        <v>1628</v>
      </c>
      <c r="H330">
        <v>142</v>
      </c>
      <c r="I330">
        <v>59</v>
      </c>
      <c r="J330">
        <v>12</v>
      </c>
    </row>
    <row r="331" spans="1:10">
      <c r="A331" t="s">
        <v>31</v>
      </c>
      <c r="B331">
        <v>60</v>
      </c>
      <c r="C331" t="s">
        <v>492</v>
      </c>
      <c r="D331">
        <v>360</v>
      </c>
      <c r="E331">
        <v>2160</v>
      </c>
      <c r="F331">
        <v>271566</v>
      </c>
      <c r="G331">
        <v>1634</v>
      </c>
      <c r="H331">
        <v>144</v>
      </c>
      <c r="I331">
        <v>60</v>
      </c>
      <c r="J331">
        <v>12</v>
      </c>
    </row>
    <row r="332" spans="1:10">
      <c r="A332" t="s">
        <v>31</v>
      </c>
      <c r="B332">
        <v>61</v>
      </c>
      <c r="C332" t="s">
        <v>493</v>
      </c>
      <c r="D332">
        <v>366</v>
      </c>
      <c r="E332">
        <v>2196</v>
      </c>
      <c r="F332">
        <v>274648</v>
      </c>
      <c r="G332">
        <v>1643</v>
      </c>
      <c r="H332">
        <v>148</v>
      </c>
      <c r="I332">
        <v>61</v>
      </c>
      <c r="J332">
        <v>12</v>
      </c>
    </row>
    <row r="333" spans="1:10">
      <c r="A333" t="s">
        <v>31</v>
      </c>
      <c r="B333">
        <v>62</v>
      </c>
      <c r="C333" t="s">
        <v>494</v>
      </c>
      <c r="D333">
        <v>372</v>
      </c>
      <c r="E333">
        <v>2232</v>
      </c>
      <c r="F333">
        <v>278729</v>
      </c>
      <c r="G333">
        <v>1651</v>
      </c>
      <c r="H333">
        <v>150</v>
      </c>
      <c r="I333">
        <v>62</v>
      </c>
      <c r="J333">
        <v>12</v>
      </c>
    </row>
    <row r="334" spans="1:10">
      <c r="A334" t="s">
        <v>31</v>
      </c>
      <c r="B334">
        <v>63</v>
      </c>
      <c r="C334" t="s">
        <v>495</v>
      </c>
      <c r="D334">
        <v>378</v>
      </c>
      <c r="E334">
        <v>2268</v>
      </c>
      <c r="F334">
        <v>282134</v>
      </c>
      <c r="G334">
        <v>1685</v>
      </c>
      <c r="H334">
        <v>153</v>
      </c>
      <c r="I334">
        <v>63</v>
      </c>
      <c r="J334">
        <v>12</v>
      </c>
    </row>
    <row r="335" spans="1:10">
      <c r="A335" t="s">
        <v>31</v>
      </c>
      <c r="B335">
        <v>64</v>
      </c>
      <c r="C335" t="s">
        <v>496</v>
      </c>
      <c r="D335">
        <v>384</v>
      </c>
      <c r="E335">
        <v>2304</v>
      </c>
      <c r="F335">
        <v>285945</v>
      </c>
      <c r="G335">
        <v>1714</v>
      </c>
      <c r="H335">
        <v>156</v>
      </c>
      <c r="I335">
        <v>64</v>
      </c>
      <c r="J335">
        <v>12</v>
      </c>
    </row>
    <row r="336" spans="1:10">
      <c r="A336" t="s">
        <v>31</v>
      </c>
      <c r="B336">
        <v>65</v>
      </c>
      <c r="C336" t="s">
        <v>497</v>
      </c>
      <c r="D336">
        <v>390</v>
      </c>
      <c r="E336">
        <v>2340</v>
      </c>
      <c r="F336">
        <v>289150</v>
      </c>
      <c r="G336">
        <v>1730</v>
      </c>
      <c r="H336">
        <v>158</v>
      </c>
      <c r="I336">
        <v>65</v>
      </c>
      <c r="J336">
        <v>12</v>
      </c>
    </row>
    <row r="337" spans="1:10">
      <c r="A337" t="s">
        <v>31</v>
      </c>
      <c r="B337">
        <v>66</v>
      </c>
      <c r="C337" t="s">
        <v>498</v>
      </c>
      <c r="D337">
        <v>396</v>
      </c>
      <c r="E337">
        <v>2376</v>
      </c>
      <c r="F337">
        <v>293435</v>
      </c>
      <c r="G337">
        <v>1741</v>
      </c>
      <c r="H337">
        <v>161</v>
      </c>
      <c r="I337">
        <v>66</v>
      </c>
      <c r="J337">
        <v>12</v>
      </c>
    </row>
    <row r="338" spans="1:10">
      <c r="A338" t="s">
        <v>31</v>
      </c>
      <c r="B338">
        <v>67</v>
      </c>
      <c r="C338" t="s">
        <v>499</v>
      </c>
      <c r="D338">
        <v>402</v>
      </c>
      <c r="E338">
        <v>2412</v>
      </c>
      <c r="F338">
        <v>296840</v>
      </c>
      <c r="G338">
        <v>1747</v>
      </c>
      <c r="H338">
        <v>162</v>
      </c>
      <c r="I338">
        <v>67</v>
      </c>
      <c r="J338">
        <v>12</v>
      </c>
    </row>
    <row r="339" spans="1:10">
      <c r="A339" t="s">
        <v>31</v>
      </c>
      <c r="B339">
        <v>68</v>
      </c>
      <c r="C339" t="s">
        <v>500</v>
      </c>
      <c r="D339">
        <v>408</v>
      </c>
      <c r="E339">
        <v>2448</v>
      </c>
      <c r="F339">
        <v>301104</v>
      </c>
      <c r="G339">
        <v>1753</v>
      </c>
      <c r="H339">
        <v>165</v>
      </c>
      <c r="I339">
        <v>68</v>
      </c>
      <c r="J339">
        <v>12</v>
      </c>
    </row>
    <row r="340" spans="1:10">
      <c r="A340" t="s">
        <v>31</v>
      </c>
      <c r="B340">
        <v>69</v>
      </c>
      <c r="C340" t="s">
        <v>501</v>
      </c>
      <c r="D340">
        <v>414</v>
      </c>
      <c r="E340">
        <v>2484</v>
      </c>
      <c r="F340">
        <v>305595</v>
      </c>
      <c r="G340">
        <v>1764</v>
      </c>
      <c r="H340">
        <v>168</v>
      </c>
      <c r="I340">
        <v>69</v>
      </c>
      <c r="J340">
        <v>12</v>
      </c>
    </row>
    <row r="341" spans="1:10">
      <c r="A341" t="s">
        <v>31</v>
      </c>
      <c r="B341">
        <v>70</v>
      </c>
      <c r="C341" t="s">
        <v>502</v>
      </c>
      <c r="D341">
        <v>420</v>
      </c>
      <c r="E341">
        <v>2520</v>
      </c>
      <c r="F341">
        <v>308822</v>
      </c>
      <c r="G341">
        <v>1798</v>
      </c>
      <c r="H341">
        <v>171</v>
      </c>
      <c r="I341">
        <v>70</v>
      </c>
      <c r="J341">
        <v>12</v>
      </c>
    </row>
    <row r="342" spans="1:10">
      <c r="A342" t="s">
        <v>31</v>
      </c>
      <c r="B342">
        <v>71</v>
      </c>
      <c r="C342" t="s">
        <v>503</v>
      </c>
      <c r="D342">
        <v>426</v>
      </c>
      <c r="E342">
        <v>2556</v>
      </c>
      <c r="F342">
        <v>312745</v>
      </c>
      <c r="G342">
        <v>1824</v>
      </c>
      <c r="H342">
        <v>172</v>
      </c>
      <c r="I342">
        <v>71</v>
      </c>
      <c r="J342">
        <v>12</v>
      </c>
    </row>
    <row r="343" spans="1:10">
      <c r="A343" t="s">
        <v>31</v>
      </c>
      <c r="B343">
        <v>72</v>
      </c>
      <c r="C343" t="s">
        <v>504</v>
      </c>
      <c r="D343">
        <v>432</v>
      </c>
      <c r="E343">
        <v>2592</v>
      </c>
      <c r="F343">
        <v>315780</v>
      </c>
      <c r="G343">
        <v>1840</v>
      </c>
      <c r="H343">
        <v>173</v>
      </c>
      <c r="I343">
        <v>72</v>
      </c>
      <c r="J343">
        <v>12</v>
      </c>
    </row>
    <row r="344" spans="1:10">
      <c r="A344" t="s">
        <v>31</v>
      </c>
      <c r="B344">
        <v>73</v>
      </c>
      <c r="C344" t="s">
        <v>505</v>
      </c>
      <c r="D344">
        <v>438</v>
      </c>
      <c r="E344">
        <v>2628</v>
      </c>
      <c r="F344">
        <v>319444</v>
      </c>
      <c r="G344">
        <v>1851</v>
      </c>
      <c r="H344">
        <v>175</v>
      </c>
      <c r="I344">
        <v>73</v>
      </c>
      <c r="J344">
        <v>12</v>
      </c>
    </row>
    <row r="345" spans="1:10">
      <c r="A345" t="s">
        <v>31</v>
      </c>
      <c r="B345">
        <v>74</v>
      </c>
      <c r="C345" t="s">
        <v>506</v>
      </c>
      <c r="D345">
        <v>444</v>
      </c>
      <c r="E345">
        <v>2664</v>
      </c>
      <c r="F345">
        <v>323408</v>
      </c>
      <c r="G345">
        <v>1860</v>
      </c>
      <c r="H345">
        <v>178</v>
      </c>
      <c r="I345">
        <v>74</v>
      </c>
      <c r="J345">
        <v>12</v>
      </c>
    </row>
    <row r="346" spans="1:10">
      <c r="A346" t="s">
        <v>31</v>
      </c>
      <c r="B346">
        <v>75</v>
      </c>
      <c r="C346" t="s">
        <v>507</v>
      </c>
      <c r="D346">
        <v>450</v>
      </c>
      <c r="E346">
        <v>2700</v>
      </c>
      <c r="F346">
        <v>327915</v>
      </c>
      <c r="G346">
        <v>1866</v>
      </c>
      <c r="H346">
        <v>181</v>
      </c>
      <c r="I346">
        <v>75</v>
      </c>
      <c r="J346">
        <v>12</v>
      </c>
    </row>
    <row r="347" spans="1:10">
      <c r="A347" t="s">
        <v>31</v>
      </c>
      <c r="B347">
        <v>76</v>
      </c>
      <c r="C347" t="s">
        <v>508</v>
      </c>
      <c r="D347">
        <v>456</v>
      </c>
      <c r="E347">
        <v>2736</v>
      </c>
      <c r="F347">
        <v>331997</v>
      </c>
      <c r="G347">
        <v>1877</v>
      </c>
      <c r="H347">
        <v>184</v>
      </c>
      <c r="I347">
        <v>76</v>
      </c>
      <c r="J347">
        <v>12</v>
      </c>
    </row>
    <row r="348" spans="1:10">
      <c r="A348" t="s">
        <v>31</v>
      </c>
      <c r="B348">
        <v>77</v>
      </c>
      <c r="C348" t="s">
        <v>509</v>
      </c>
      <c r="D348">
        <v>462</v>
      </c>
      <c r="E348">
        <v>2772</v>
      </c>
      <c r="F348">
        <v>335209</v>
      </c>
      <c r="G348">
        <v>1911</v>
      </c>
      <c r="H348">
        <v>187</v>
      </c>
      <c r="I348">
        <v>77</v>
      </c>
      <c r="J348">
        <v>12</v>
      </c>
    </row>
    <row r="349" spans="1:10">
      <c r="A349" t="s">
        <v>31</v>
      </c>
      <c r="B349">
        <v>78</v>
      </c>
      <c r="C349" t="s">
        <v>510</v>
      </c>
      <c r="D349">
        <v>468</v>
      </c>
      <c r="E349">
        <v>2808</v>
      </c>
      <c r="F349">
        <v>337679</v>
      </c>
      <c r="G349">
        <v>1917</v>
      </c>
      <c r="H349">
        <v>189</v>
      </c>
      <c r="I349">
        <v>78</v>
      </c>
      <c r="J349">
        <v>12</v>
      </c>
    </row>
    <row r="350" spans="1:10">
      <c r="A350" t="s">
        <v>31</v>
      </c>
      <c r="B350">
        <v>79</v>
      </c>
      <c r="C350" t="s">
        <v>511</v>
      </c>
      <c r="D350">
        <v>474</v>
      </c>
      <c r="E350">
        <v>2844</v>
      </c>
      <c r="F350">
        <v>340109</v>
      </c>
      <c r="G350">
        <v>1923</v>
      </c>
      <c r="H350">
        <v>190</v>
      </c>
      <c r="I350">
        <v>79</v>
      </c>
      <c r="J350">
        <v>12</v>
      </c>
    </row>
    <row r="351" spans="1:10">
      <c r="A351" t="s">
        <v>31</v>
      </c>
      <c r="B351">
        <v>80</v>
      </c>
      <c r="C351" t="s">
        <v>512</v>
      </c>
      <c r="D351">
        <v>480</v>
      </c>
      <c r="E351">
        <v>2880</v>
      </c>
      <c r="F351">
        <v>344027</v>
      </c>
      <c r="G351">
        <v>1951</v>
      </c>
      <c r="H351">
        <v>191</v>
      </c>
      <c r="I351">
        <v>80</v>
      </c>
      <c r="J351">
        <v>12</v>
      </c>
    </row>
    <row r="352" spans="1:10">
      <c r="A352" t="s">
        <v>31</v>
      </c>
      <c r="B352">
        <v>81</v>
      </c>
      <c r="C352" t="s">
        <v>513</v>
      </c>
      <c r="D352">
        <v>486</v>
      </c>
      <c r="E352">
        <v>2916</v>
      </c>
      <c r="F352">
        <v>347852</v>
      </c>
      <c r="G352">
        <v>1967</v>
      </c>
      <c r="H352">
        <v>193</v>
      </c>
      <c r="I352">
        <v>81</v>
      </c>
      <c r="J352">
        <v>12</v>
      </c>
    </row>
    <row r="353" spans="1:10">
      <c r="A353" t="s">
        <v>31</v>
      </c>
      <c r="B353">
        <v>82</v>
      </c>
      <c r="C353" t="s">
        <v>514</v>
      </c>
      <c r="D353">
        <v>492</v>
      </c>
      <c r="E353">
        <v>2952</v>
      </c>
      <c r="F353">
        <v>351411</v>
      </c>
      <c r="G353">
        <v>1973</v>
      </c>
      <c r="H353">
        <v>196</v>
      </c>
      <c r="I353">
        <v>82</v>
      </c>
      <c r="J353">
        <v>12</v>
      </c>
    </row>
    <row r="354" spans="1:10">
      <c r="A354" t="s">
        <v>31</v>
      </c>
      <c r="B354">
        <v>83</v>
      </c>
      <c r="C354" t="s">
        <v>515</v>
      </c>
      <c r="D354">
        <v>498</v>
      </c>
      <c r="E354">
        <v>2988</v>
      </c>
      <c r="F354">
        <v>354330</v>
      </c>
      <c r="G354">
        <v>1984</v>
      </c>
      <c r="H354">
        <v>199</v>
      </c>
      <c r="I354">
        <v>83</v>
      </c>
      <c r="J354">
        <v>12</v>
      </c>
    </row>
    <row r="355" spans="1:10">
      <c r="A355" t="s">
        <v>31</v>
      </c>
      <c r="B355">
        <v>84</v>
      </c>
      <c r="C355" t="s">
        <v>516</v>
      </c>
      <c r="D355">
        <v>504</v>
      </c>
      <c r="E355">
        <v>3024</v>
      </c>
      <c r="F355">
        <v>358103</v>
      </c>
      <c r="G355">
        <v>2018</v>
      </c>
      <c r="H355">
        <v>202</v>
      </c>
      <c r="I355">
        <v>84</v>
      </c>
      <c r="J355">
        <v>12</v>
      </c>
    </row>
    <row r="356" spans="1:10">
      <c r="A356" t="s">
        <v>31</v>
      </c>
      <c r="B356">
        <v>85</v>
      </c>
      <c r="C356" t="s">
        <v>517</v>
      </c>
      <c r="D356">
        <v>510</v>
      </c>
      <c r="E356">
        <v>3060</v>
      </c>
      <c r="F356">
        <v>361077</v>
      </c>
      <c r="G356">
        <v>2034</v>
      </c>
      <c r="H356">
        <v>204</v>
      </c>
      <c r="I356">
        <v>85</v>
      </c>
      <c r="J356">
        <v>12</v>
      </c>
    </row>
    <row r="357" spans="1:10">
      <c r="A357" t="s">
        <v>31</v>
      </c>
      <c r="B357">
        <v>86</v>
      </c>
      <c r="C357" t="s">
        <v>518</v>
      </c>
      <c r="D357">
        <v>516</v>
      </c>
      <c r="E357">
        <v>3096</v>
      </c>
      <c r="F357">
        <v>364525</v>
      </c>
      <c r="G357">
        <v>2050</v>
      </c>
      <c r="H357">
        <v>206</v>
      </c>
      <c r="I357">
        <v>86</v>
      </c>
      <c r="J357">
        <v>12</v>
      </c>
    </row>
    <row r="358" spans="1:10">
      <c r="A358" t="s">
        <v>31</v>
      </c>
      <c r="B358">
        <v>87</v>
      </c>
      <c r="C358" t="s">
        <v>519</v>
      </c>
      <c r="D358">
        <v>522</v>
      </c>
      <c r="E358">
        <v>3132</v>
      </c>
      <c r="F358">
        <v>368403</v>
      </c>
      <c r="G358">
        <v>2074</v>
      </c>
      <c r="H358">
        <v>209</v>
      </c>
      <c r="I358">
        <v>87</v>
      </c>
      <c r="J358">
        <v>12</v>
      </c>
    </row>
    <row r="359" spans="1:10">
      <c r="A359" t="s">
        <v>31</v>
      </c>
      <c r="B359">
        <v>88</v>
      </c>
      <c r="C359" t="s">
        <v>520</v>
      </c>
      <c r="D359">
        <v>528</v>
      </c>
      <c r="E359">
        <v>3168</v>
      </c>
      <c r="F359">
        <v>372063</v>
      </c>
      <c r="G359">
        <v>2080</v>
      </c>
      <c r="H359">
        <v>211</v>
      </c>
      <c r="I359">
        <v>88</v>
      </c>
      <c r="J359">
        <v>12</v>
      </c>
    </row>
    <row r="360" spans="1:10">
      <c r="A360" t="s">
        <v>31</v>
      </c>
      <c r="B360">
        <v>89</v>
      </c>
      <c r="C360" t="s">
        <v>521</v>
      </c>
      <c r="D360">
        <v>534</v>
      </c>
      <c r="E360">
        <v>3204</v>
      </c>
      <c r="F360">
        <v>374968</v>
      </c>
      <c r="G360">
        <v>2086</v>
      </c>
      <c r="H360">
        <v>214</v>
      </c>
      <c r="I360">
        <v>89</v>
      </c>
      <c r="J360">
        <v>12</v>
      </c>
    </row>
    <row r="361" spans="1:10">
      <c r="A361" t="s">
        <v>31</v>
      </c>
      <c r="B361">
        <v>90</v>
      </c>
      <c r="C361" t="s">
        <v>522</v>
      </c>
      <c r="D361">
        <v>540</v>
      </c>
      <c r="E361">
        <v>3240</v>
      </c>
      <c r="F361">
        <v>378511</v>
      </c>
      <c r="G361">
        <v>2095</v>
      </c>
      <c r="H361">
        <v>217</v>
      </c>
      <c r="I361">
        <v>90</v>
      </c>
      <c r="J361">
        <v>12</v>
      </c>
    </row>
    <row r="362" spans="1:10">
      <c r="A362" t="s">
        <v>32</v>
      </c>
      <c r="B362">
        <v>1</v>
      </c>
      <c r="C362" t="s">
        <v>433</v>
      </c>
      <c r="D362">
        <v>3</v>
      </c>
      <c r="E362">
        <v>18</v>
      </c>
      <c r="F362">
        <v>1810</v>
      </c>
      <c r="G362">
        <v>82</v>
      </c>
      <c r="H362">
        <v>1</v>
      </c>
      <c r="I362">
        <v>1</v>
      </c>
      <c r="J362">
        <v>0</v>
      </c>
    </row>
    <row r="363" spans="1:10">
      <c r="A363" t="s">
        <v>32</v>
      </c>
      <c r="B363">
        <v>2</v>
      </c>
      <c r="C363" t="s">
        <v>434</v>
      </c>
      <c r="D363">
        <v>6</v>
      </c>
      <c r="E363">
        <v>36</v>
      </c>
      <c r="F363">
        <v>4276</v>
      </c>
      <c r="G363">
        <v>99</v>
      </c>
      <c r="H363">
        <v>4</v>
      </c>
      <c r="I363">
        <v>2</v>
      </c>
      <c r="J363">
        <v>0</v>
      </c>
    </row>
    <row r="364" spans="1:10">
      <c r="A364" t="s">
        <v>32</v>
      </c>
      <c r="B364">
        <v>3</v>
      </c>
      <c r="C364" t="s">
        <v>435</v>
      </c>
      <c r="D364">
        <v>9</v>
      </c>
      <c r="E364">
        <v>54</v>
      </c>
      <c r="F364">
        <v>6786</v>
      </c>
      <c r="G364">
        <v>139</v>
      </c>
      <c r="H364">
        <v>7</v>
      </c>
      <c r="I364">
        <v>3</v>
      </c>
      <c r="J364">
        <v>0</v>
      </c>
    </row>
    <row r="365" spans="1:10">
      <c r="A365" t="s">
        <v>32</v>
      </c>
      <c r="B365">
        <v>4</v>
      </c>
      <c r="C365" t="s">
        <v>436</v>
      </c>
      <c r="D365">
        <v>12</v>
      </c>
      <c r="E365">
        <v>72</v>
      </c>
      <c r="F365">
        <v>10540</v>
      </c>
      <c r="G365">
        <v>184</v>
      </c>
      <c r="H365">
        <v>11</v>
      </c>
      <c r="I365">
        <v>4</v>
      </c>
      <c r="J365">
        <v>0</v>
      </c>
    </row>
    <row r="366" spans="1:10">
      <c r="A366" t="s">
        <v>32</v>
      </c>
      <c r="B366">
        <v>5</v>
      </c>
      <c r="C366" t="s">
        <v>437</v>
      </c>
      <c r="D366">
        <v>15</v>
      </c>
      <c r="E366">
        <v>90</v>
      </c>
      <c r="F366">
        <v>12992</v>
      </c>
      <c r="G366">
        <v>212</v>
      </c>
      <c r="H366">
        <v>13</v>
      </c>
      <c r="I366">
        <v>5</v>
      </c>
      <c r="J366">
        <v>0</v>
      </c>
    </row>
    <row r="367" spans="1:10">
      <c r="A367" t="s">
        <v>32</v>
      </c>
      <c r="B367">
        <v>6</v>
      </c>
      <c r="C367" t="s">
        <v>438</v>
      </c>
      <c r="D367">
        <v>18</v>
      </c>
      <c r="E367">
        <v>108</v>
      </c>
      <c r="F367">
        <v>16273</v>
      </c>
      <c r="G367">
        <v>242</v>
      </c>
      <c r="H367">
        <v>14</v>
      </c>
      <c r="I367">
        <v>6</v>
      </c>
      <c r="J367">
        <v>0</v>
      </c>
    </row>
    <row r="368" spans="1:10">
      <c r="A368" t="s">
        <v>32</v>
      </c>
      <c r="B368">
        <v>7</v>
      </c>
      <c r="C368" t="s">
        <v>439</v>
      </c>
      <c r="D368">
        <v>21</v>
      </c>
      <c r="E368">
        <v>126</v>
      </c>
      <c r="F368">
        <v>19463</v>
      </c>
      <c r="G368">
        <v>270</v>
      </c>
      <c r="H368">
        <v>15</v>
      </c>
      <c r="I368">
        <v>7</v>
      </c>
      <c r="J368">
        <v>0</v>
      </c>
    </row>
    <row r="369" spans="1:10">
      <c r="A369" t="s">
        <v>32</v>
      </c>
      <c r="B369">
        <v>8</v>
      </c>
      <c r="C369" t="s">
        <v>440</v>
      </c>
      <c r="D369">
        <v>24</v>
      </c>
      <c r="E369">
        <v>144</v>
      </c>
      <c r="F369">
        <v>22295</v>
      </c>
      <c r="G369">
        <v>297</v>
      </c>
      <c r="H369">
        <v>17</v>
      </c>
      <c r="I369">
        <v>8</v>
      </c>
      <c r="J369">
        <v>1</v>
      </c>
    </row>
    <row r="370" spans="1:10">
      <c r="A370" t="s">
        <v>32</v>
      </c>
      <c r="B370">
        <v>9</v>
      </c>
      <c r="C370" t="s">
        <v>441</v>
      </c>
      <c r="D370">
        <v>27</v>
      </c>
      <c r="E370">
        <v>162</v>
      </c>
      <c r="F370">
        <v>24516</v>
      </c>
      <c r="G370">
        <v>312</v>
      </c>
      <c r="H370">
        <v>18</v>
      </c>
      <c r="I370">
        <v>9</v>
      </c>
      <c r="J370">
        <v>1</v>
      </c>
    </row>
    <row r="371" spans="1:10">
      <c r="A371" t="s">
        <v>32</v>
      </c>
      <c r="B371">
        <v>10</v>
      </c>
      <c r="C371" t="s">
        <v>442</v>
      </c>
      <c r="D371">
        <v>30</v>
      </c>
      <c r="E371">
        <v>180</v>
      </c>
      <c r="F371">
        <v>27304</v>
      </c>
      <c r="G371">
        <v>350</v>
      </c>
      <c r="H371">
        <v>20</v>
      </c>
      <c r="I371">
        <v>10</v>
      </c>
      <c r="J371">
        <v>1</v>
      </c>
    </row>
    <row r="372" spans="1:10">
      <c r="A372" t="s">
        <v>32</v>
      </c>
      <c r="B372">
        <v>11</v>
      </c>
      <c r="C372" t="s">
        <v>443</v>
      </c>
      <c r="D372">
        <v>33</v>
      </c>
      <c r="E372">
        <v>198</v>
      </c>
      <c r="F372">
        <v>30361</v>
      </c>
      <c r="G372">
        <v>385</v>
      </c>
      <c r="H372">
        <v>22</v>
      </c>
      <c r="I372">
        <v>11</v>
      </c>
      <c r="J372">
        <v>1</v>
      </c>
    </row>
    <row r="373" spans="1:10">
      <c r="A373" t="s">
        <v>32</v>
      </c>
      <c r="B373">
        <v>12</v>
      </c>
      <c r="C373" t="s">
        <v>444</v>
      </c>
      <c r="D373">
        <v>36</v>
      </c>
      <c r="E373">
        <v>216</v>
      </c>
      <c r="F373">
        <v>33713</v>
      </c>
      <c r="G373">
        <v>425</v>
      </c>
      <c r="H373">
        <v>24</v>
      </c>
      <c r="I373">
        <v>12</v>
      </c>
      <c r="J373">
        <v>1</v>
      </c>
    </row>
    <row r="374" spans="1:10">
      <c r="A374" t="s">
        <v>32</v>
      </c>
      <c r="B374">
        <v>13</v>
      </c>
      <c r="C374" t="s">
        <v>445</v>
      </c>
      <c r="D374">
        <v>39</v>
      </c>
      <c r="E374">
        <v>234</v>
      </c>
      <c r="F374">
        <v>36644</v>
      </c>
      <c r="G374">
        <v>430</v>
      </c>
      <c r="H374">
        <v>26</v>
      </c>
      <c r="I374">
        <v>13</v>
      </c>
      <c r="J374">
        <v>1</v>
      </c>
    </row>
    <row r="375" spans="1:10">
      <c r="A375" t="s">
        <v>32</v>
      </c>
      <c r="B375">
        <v>14</v>
      </c>
      <c r="C375" t="s">
        <v>446</v>
      </c>
      <c r="D375">
        <v>42</v>
      </c>
      <c r="E375">
        <v>252</v>
      </c>
      <c r="F375">
        <v>39089</v>
      </c>
      <c r="G375">
        <v>458</v>
      </c>
      <c r="H375">
        <v>28</v>
      </c>
      <c r="I375">
        <v>14</v>
      </c>
      <c r="J375">
        <v>1</v>
      </c>
    </row>
    <row r="376" spans="1:10">
      <c r="A376" t="s">
        <v>32</v>
      </c>
      <c r="B376">
        <v>15</v>
      </c>
      <c r="C376" t="s">
        <v>447</v>
      </c>
      <c r="D376">
        <v>45</v>
      </c>
      <c r="E376">
        <v>270</v>
      </c>
      <c r="F376">
        <v>42229</v>
      </c>
      <c r="G376">
        <v>476</v>
      </c>
      <c r="H376">
        <v>30</v>
      </c>
      <c r="I376">
        <v>15</v>
      </c>
      <c r="J376">
        <v>2</v>
      </c>
    </row>
    <row r="377" spans="1:10">
      <c r="A377" t="s">
        <v>32</v>
      </c>
      <c r="B377">
        <v>16</v>
      </c>
      <c r="C377" t="s">
        <v>448</v>
      </c>
      <c r="D377">
        <v>48</v>
      </c>
      <c r="E377">
        <v>288</v>
      </c>
      <c r="F377">
        <v>44497</v>
      </c>
      <c r="G377">
        <v>489</v>
      </c>
      <c r="H377">
        <v>32</v>
      </c>
      <c r="I377">
        <v>16</v>
      </c>
      <c r="J377">
        <v>2</v>
      </c>
    </row>
    <row r="378" spans="1:10">
      <c r="A378" t="s">
        <v>32</v>
      </c>
      <c r="B378">
        <v>17</v>
      </c>
      <c r="C378" t="s">
        <v>449</v>
      </c>
      <c r="D378">
        <v>51</v>
      </c>
      <c r="E378">
        <v>306</v>
      </c>
      <c r="F378">
        <v>47406</v>
      </c>
      <c r="G378">
        <v>514</v>
      </c>
      <c r="H378">
        <v>35</v>
      </c>
      <c r="I378">
        <v>17</v>
      </c>
      <c r="J378">
        <v>2</v>
      </c>
    </row>
    <row r="379" spans="1:10">
      <c r="A379" t="s">
        <v>32</v>
      </c>
      <c r="B379">
        <v>18</v>
      </c>
      <c r="C379" t="s">
        <v>450</v>
      </c>
      <c r="D379">
        <v>54</v>
      </c>
      <c r="E379">
        <v>324</v>
      </c>
      <c r="F379">
        <v>50360</v>
      </c>
      <c r="G379">
        <v>534</v>
      </c>
      <c r="H379">
        <v>36</v>
      </c>
      <c r="I379">
        <v>18</v>
      </c>
      <c r="J379">
        <v>2</v>
      </c>
    </row>
    <row r="380" spans="1:10">
      <c r="A380" t="s">
        <v>32</v>
      </c>
      <c r="B380">
        <v>19</v>
      </c>
      <c r="C380" t="s">
        <v>451</v>
      </c>
      <c r="D380">
        <v>57</v>
      </c>
      <c r="E380">
        <v>342</v>
      </c>
      <c r="F380">
        <v>54342</v>
      </c>
      <c r="G380">
        <v>557</v>
      </c>
      <c r="H380">
        <v>38</v>
      </c>
      <c r="I380">
        <v>19</v>
      </c>
      <c r="J380">
        <v>2</v>
      </c>
    </row>
    <row r="381" spans="1:10">
      <c r="A381" t="s">
        <v>32</v>
      </c>
      <c r="B381">
        <v>20</v>
      </c>
      <c r="C381" t="s">
        <v>452</v>
      </c>
      <c r="D381">
        <v>60</v>
      </c>
      <c r="E381">
        <v>360</v>
      </c>
      <c r="F381">
        <v>56914</v>
      </c>
      <c r="G381">
        <v>562</v>
      </c>
      <c r="H381">
        <v>40</v>
      </c>
      <c r="I381">
        <v>20</v>
      </c>
      <c r="J381">
        <v>2</v>
      </c>
    </row>
    <row r="382" spans="1:10">
      <c r="A382" t="s">
        <v>32</v>
      </c>
      <c r="B382">
        <v>21</v>
      </c>
      <c r="C382" t="s">
        <v>453</v>
      </c>
      <c r="D382">
        <v>63</v>
      </c>
      <c r="E382">
        <v>378</v>
      </c>
      <c r="F382">
        <v>59217</v>
      </c>
      <c r="G382">
        <v>590</v>
      </c>
      <c r="H382">
        <v>42</v>
      </c>
      <c r="I382">
        <v>21</v>
      </c>
      <c r="J382">
        <v>2</v>
      </c>
    </row>
    <row r="383" spans="1:10">
      <c r="A383" t="s">
        <v>32</v>
      </c>
      <c r="B383">
        <v>22</v>
      </c>
      <c r="C383" t="s">
        <v>454</v>
      </c>
      <c r="D383">
        <v>66</v>
      </c>
      <c r="E383">
        <v>396</v>
      </c>
      <c r="F383">
        <v>63893</v>
      </c>
      <c r="G383">
        <v>608</v>
      </c>
      <c r="H383">
        <v>43</v>
      </c>
      <c r="I383">
        <v>22</v>
      </c>
      <c r="J383">
        <v>3</v>
      </c>
    </row>
    <row r="384" spans="1:10">
      <c r="A384" t="s">
        <v>32</v>
      </c>
      <c r="B384">
        <v>23</v>
      </c>
      <c r="C384" t="s">
        <v>455</v>
      </c>
      <c r="D384">
        <v>69</v>
      </c>
      <c r="E384">
        <v>414</v>
      </c>
      <c r="F384">
        <v>66547</v>
      </c>
      <c r="G384">
        <v>608</v>
      </c>
      <c r="H384">
        <v>45</v>
      </c>
      <c r="I384">
        <v>23</v>
      </c>
      <c r="J384">
        <v>3</v>
      </c>
    </row>
    <row r="385" spans="1:10">
      <c r="A385" t="s">
        <v>32</v>
      </c>
      <c r="B385">
        <v>24</v>
      </c>
      <c r="C385" t="s">
        <v>456</v>
      </c>
      <c r="D385">
        <v>72</v>
      </c>
      <c r="E385">
        <v>432</v>
      </c>
      <c r="F385">
        <v>69281</v>
      </c>
      <c r="G385">
        <v>633</v>
      </c>
      <c r="H385">
        <v>48</v>
      </c>
      <c r="I385">
        <v>24</v>
      </c>
      <c r="J385">
        <v>3</v>
      </c>
    </row>
    <row r="386" spans="1:10">
      <c r="A386" t="s">
        <v>32</v>
      </c>
      <c r="B386">
        <v>25</v>
      </c>
      <c r="C386" t="s">
        <v>457</v>
      </c>
      <c r="D386">
        <v>75</v>
      </c>
      <c r="E386">
        <v>450</v>
      </c>
      <c r="F386">
        <v>72012</v>
      </c>
      <c r="G386">
        <v>656</v>
      </c>
      <c r="H386">
        <v>50</v>
      </c>
      <c r="I386">
        <v>25</v>
      </c>
      <c r="J386">
        <v>3</v>
      </c>
    </row>
    <row r="387" spans="1:10">
      <c r="A387" t="s">
        <v>32</v>
      </c>
      <c r="B387">
        <v>26</v>
      </c>
      <c r="C387" t="s">
        <v>458</v>
      </c>
      <c r="D387">
        <v>78</v>
      </c>
      <c r="E387">
        <v>468</v>
      </c>
      <c r="F387">
        <v>73686</v>
      </c>
      <c r="G387">
        <v>674</v>
      </c>
      <c r="H387">
        <v>52</v>
      </c>
      <c r="I387">
        <v>26</v>
      </c>
      <c r="J387">
        <v>3</v>
      </c>
    </row>
    <row r="388" spans="1:10">
      <c r="A388" t="s">
        <v>32</v>
      </c>
      <c r="B388">
        <v>27</v>
      </c>
      <c r="C388" t="s">
        <v>459</v>
      </c>
      <c r="D388">
        <v>81</v>
      </c>
      <c r="E388">
        <v>486</v>
      </c>
      <c r="F388">
        <v>76135</v>
      </c>
      <c r="G388">
        <v>687</v>
      </c>
      <c r="H388">
        <v>53</v>
      </c>
      <c r="I388">
        <v>27</v>
      </c>
      <c r="J388">
        <v>3</v>
      </c>
    </row>
    <row r="389" spans="1:10">
      <c r="A389" t="s">
        <v>32</v>
      </c>
      <c r="B389">
        <v>28</v>
      </c>
      <c r="C389" t="s">
        <v>460</v>
      </c>
      <c r="D389">
        <v>84</v>
      </c>
      <c r="E389">
        <v>504</v>
      </c>
      <c r="F389">
        <v>77404</v>
      </c>
      <c r="G389">
        <v>712</v>
      </c>
      <c r="H389">
        <v>53</v>
      </c>
      <c r="I389">
        <v>28</v>
      </c>
      <c r="J389">
        <v>3</v>
      </c>
    </row>
    <row r="390" spans="1:10">
      <c r="A390" t="s">
        <v>32</v>
      </c>
      <c r="B390">
        <v>29</v>
      </c>
      <c r="C390" t="s">
        <v>461</v>
      </c>
      <c r="D390">
        <v>87</v>
      </c>
      <c r="E390">
        <v>522</v>
      </c>
      <c r="F390">
        <v>79270</v>
      </c>
      <c r="G390">
        <v>715</v>
      </c>
      <c r="H390">
        <v>53</v>
      </c>
      <c r="I390">
        <v>29</v>
      </c>
      <c r="J390">
        <v>3</v>
      </c>
    </row>
    <row r="391" spans="1:10">
      <c r="A391" t="s">
        <v>32</v>
      </c>
      <c r="B391">
        <v>30</v>
      </c>
      <c r="C391" t="s">
        <v>462</v>
      </c>
      <c r="D391">
        <v>90</v>
      </c>
      <c r="E391">
        <v>540</v>
      </c>
      <c r="F391">
        <v>80837</v>
      </c>
      <c r="G391">
        <v>720</v>
      </c>
      <c r="H391">
        <v>53</v>
      </c>
      <c r="I391">
        <v>30</v>
      </c>
      <c r="J391">
        <v>3</v>
      </c>
    </row>
    <row r="392" spans="1:10">
      <c r="A392" t="s">
        <v>32</v>
      </c>
      <c r="B392">
        <v>31</v>
      </c>
      <c r="C392" t="s">
        <v>463</v>
      </c>
      <c r="D392">
        <v>93</v>
      </c>
      <c r="E392">
        <v>558</v>
      </c>
      <c r="F392">
        <v>84689</v>
      </c>
      <c r="G392">
        <v>766</v>
      </c>
      <c r="H392">
        <v>56</v>
      </c>
      <c r="I392">
        <v>31</v>
      </c>
      <c r="J392">
        <v>4</v>
      </c>
    </row>
    <row r="393" spans="1:10">
      <c r="A393" t="s">
        <v>32</v>
      </c>
      <c r="B393">
        <v>32</v>
      </c>
      <c r="C393" t="s">
        <v>464</v>
      </c>
      <c r="D393">
        <v>96</v>
      </c>
      <c r="E393">
        <v>576</v>
      </c>
      <c r="F393">
        <v>87892</v>
      </c>
      <c r="G393">
        <v>784</v>
      </c>
      <c r="H393">
        <v>57</v>
      </c>
      <c r="I393">
        <v>32</v>
      </c>
      <c r="J393">
        <v>4</v>
      </c>
    </row>
    <row r="394" spans="1:10">
      <c r="A394" t="s">
        <v>32</v>
      </c>
      <c r="B394">
        <v>33</v>
      </c>
      <c r="C394" t="s">
        <v>465</v>
      </c>
      <c r="D394">
        <v>99</v>
      </c>
      <c r="E394">
        <v>594</v>
      </c>
      <c r="F394">
        <v>89273</v>
      </c>
      <c r="G394">
        <v>787</v>
      </c>
      <c r="H394">
        <v>59</v>
      </c>
      <c r="I394">
        <v>33</v>
      </c>
      <c r="J394">
        <v>4</v>
      </c>
    </row>
    <row r="395" spans="1:10">
      <c r="A395" t="s">
        <v>32</v>
      </c>
      <c r="B395">
        <v>34</v>
      </c>
      <c r="C395" t="s">
        <v>466</v>
      </c>
      <c r="D395">
        <v>102</v>
      </c>
      <c r="E395">
        <v>612</v>
      </c>
      <c r="F395">
        <v>93543</v>
      </c>
      <c r="G395">
        <v>790</v>
      </c>
      <c r="H395">
        <v>61</v>
      </c>
      <c r="I395">
        <v>34</v>
      </c>
      <c r="J395">
        <v>4</v>
      </c>
    </row>
    <row r="396" spans="1:10">
      <c r="A396" t="s">
        <v>32</v>
      </c>
      <c r="B396">
        <v>35</v>
      </c>
      <c r="C396" t="s">
        <v>467</v>
      </c>
      <c r="D396">
        <v>105</v>
      </c>
      <c r="E396">
        <v>630</v>
      </c>
      <c r="F396">
        <v>96014</v>
      </c>
      <c r="G396">
        <v>830</v>
      </c>
      <c r="H396">
        <v>63</v>
      </c>
      <c r="I396">
        <v>35</v>
      </c>
      <c r="J396">
        <v>4</v>
      </c>
    </row>
    <row r="397" spans="1:10">
      <c r="A397" t="s">
        <v>32</v>
      </c>
      <c r="B397">
        <v>36</v>
      </c>
      <c r="C397" t="s">
        <v>468</v>
      </c>
      <c r="D397">
        <v>108</v>
      </c>
      <c r="E397">
        <v>648</v>
      </c>
      <c r="F397">
        <v>98700</v>
      </c>
      <c r="G397">
        <v>833</v>
      </c>
      <c r="H397">
        <v>64</v>
      </c>
      <c r="I397">
        <v>36</v>
      </c>
      <c r="J397">
        <v>4</v>
      </c>
    </row>
    <row r="398" spans="1:10">
      <c r="A398" t="s">
        <v>32</v>
      </c>
      <c r="B398">
        <v>37</v>
      </c>
      <c r="C398" t="s">
        <v>469</v>
      </c>
      <c r="D398">
        <v>111</v>
      </c>
      <c r="E398">
        <v>666</v>
      </c>
      <c r="F398">
        <v>101903</v>
      </c>
      <c r="G398">
        <v>836</v>
      </c>
      <c r="H398">
        <v>66</v>
      </c>
      <c r="I398">
        <v>37</v>
      </c>
      <c r="J398">
        <v>4</v>
      </c>
    </row>
    <row r="399" spans="1:10">
      <c r="A399" t="s">
        <v>32</v>
      </c>
      <c r="B399">
        <v>38</v>
      </c>
      <c r="C399" t="s">
        <v>470</v>
      </c>
      <c r="D399">
        <v>114</v>
      </c>
      <c r="E399">
        <v>684</v>
      </c>
      <c r="F399">
        <v>105543</v>
      </c>
      <c r="G399">
        <v>879</v>
      </c>
      <c r="H399">
        <v>68</v>
      </c>
      <c r="I399">
        <v>38</v>
      </c>
      <c r="J399">
        <v>5</v>
      </c>
    </row>
    <row r="400" spans="1:10">
      <c r="A400" t="s">
        <v>32</v>
      </c>
      <c r="B400">
        <v>39</v>
      </c>
      <c r="C400" t="s">
        <v>471</v>
      </c>
      <c r="D400">
        <v>117</v>
      </c>
      <c r="E400">
        <v>702</v>
      </c>
      <c r="F400">
        <v>108356</v>
      </c>
      <c r="G400">
        <v>912</v>
      </c>
      <c r="H400">
        <v>69</v>
      </c>
      <c r="I400">
        <v>39</v>
      </c>
      <c r="J400">
        <v>5</v>
      </c>
    </row>
    <row r="401" spans="1:10">
      <c r="A401" t="s">
        <v>32</v>
      </c>
      <c r="B401">
        <v>40</v>
      </c>
      <c r="C401" t="s">
        <v>472</v>
      </c>
      <c r="D401">
        <v>120</v>
      </c>
      <c r="E401">
        <v>720</v>
      </c>
      <c r="F401">
        <v>111729</v>
      </c>
      <c r="G401">
        <v>920</v>
      </c>
      <c r="H401">
        <v>71</v>
      </c>
      <c r="I401">
        <v>40</v>
      </c>
      <c r="J401">
        <v>5</v>
      </c>
    </row>
    <row r="402" spans="1:10">
      <c r="A402" t="s">
        <v>32</v>
      </c>
      <c r="B402">
        <v>41</v>
      </c>
      <c r="C402" t="s">
        <v>473</v>
      </c>
      <c r="D402">
        <v>123</v>
      </c>
      <c r="E402">
        <v>738</v>
      </c>
      <c r="F402">
        <v>113943</v>
      </c>
      <c r="G402">
        <v>926</v>
      </c>
      <c r="H402">
        <v>74</v>
      </c>
      <c r="I402">
        <v>41</v>
      </c>
      <c r="J402">
        <v>5</v>
      </c>
    </row>
    <row r="403" spans="1:10">
      <c r="A403" t="s">
        <v>32</v>
      </c>
      <c r="B403">
        <v>42</v>
      </c>
      <c r="C403" t="s">
        <v>474</v>
      </c>
      <c r="D403">
        <v>126</v>
      </c>
      <c r="E403">
        <v>756</v>
      </c>
      <c r="F403">
        <v>116076</v>
      </c>
      <c r="G403">
        <v>956</v>
      </c>
      <c r="H403">
        <v>75</v>
      </c>
      <c r="I403">
        <v>42</v>
      </c>
      <c r="J403">
        <v>5</v>
      </c>
    </row>
    <row r="404" spans="1:10">
      <c r="A404" t="s">
        <v>32</v>
      </c>
      <c r="B404">
        <v>43</v>
      </c>
      <c r="C404" t="s">
        <v>475</v>
      </c>
      <c r="D404">
        <v>129</v>
      </c>
      <c r="E404">
        <v>774</v>
      </c>
      <c r="F404">
        <v>118369</v>
      </c>
      <c r="G404">
        <v>969</v>
      </c>
      <c r="H404">
        <v>76</v>
      </c>
      <c r="I404">
        <v>43</v>
      </c>
      <c r="J404">
        <v>5</v>
      </c>
    </row>
    <row r="405" spans="1:10">
      <c r="A405" t="s">
        <v>32</v>
      </c>
      <c r="B405">
        <v>44</v>
      </c>
      <c r="C405" t="s">
        <v>476</v>
      </c>
      <c r="D405">
        <v>132</v>
      </c>
      <c r="E405">
        <v>792</v>
      </c>
      <c r="F405">
        <v>122258</v>
      </c>
      <c r="G405">
        <v>979</v>
      </c>
      <c r="H405">
        <v>78</v>
      </c>
      <c r="I405">
        <v>44</v>
      </c>
      <c r="J405">
        <v>5</v>
      </c>
    </row>
    <row r="406" spans="1:10">
      <c r="A406" t="s">
        <v>32</v>
      </c>
      <c r="B406">
        <v>45</v>
      </c>
      <c r="C406" t="s">
        <v>477</v>
      </c>
      <c r="D406">
        <v>135</v>
      </c>
      <c r="E406">
        <v>810</v>
      </c>
      <c r="F406">
        <v>125897</v>
      </c>
      <c r="G406">
        <v>1007</v>
      </c>
      <c r="H406">
        <v>80</v>
      </c>
      <c r="I406">
        <v>45</v>
      </c>
      <c r="J406">
        <v>5</v>
      </c>
    </row>
    <row r="407" spans="1:10">
      <c r="A407" t="s">
        <v>32</v>
      </c>
      <c r="B407">
        <v>46</v>
      </c>
      <c r="C407" t="s">
        <v>478</v>
      </c>
      <c r="D407">
        <v>138</v>
      </c>
      <c r="E407">
        <v>828</v>
      </c>
      <c r="F407">
        <v>128576</v>
      </c>
      <c r="G407">
        <v>1025</v>
      </c>
      <c r="H407">
        <v>80</v>
      </c>
      <c r="I407">
        <v>46</v>
      </c>
      <c r="J407">
        <v>6</v>
      </c>
    </row>
    <row r="408" spans="1:10">
      <c r="A408" t="s">
        <v>32</v>
      </c>
      <c r="B408">
        <v>47</v>
      </c>
      <c r="C408" t="s">
        <v>479</v>
      </c>
      <c r="D408">
        <v>141</v>
      </c>
      <c r="E408">
        <v>846</v>
      </c>
      <c r="F408">
        <v>131044</v>
      </c>
      <c r="G408">
        <v>1025</v>
      </c>
      <c r="H408">
        <v>83</v>
      </c>
      <c r="I408">
        <v>47</v>
      </c>
      <c r="J408">
        <v>6</v>
      </c>
    </row>
    <row r="409" spans="1:10">
      <c r="A409" t="s">
        <v>32</v>
      </c>
      <c r="B409">
        <v>48</v>
      </c>
      <c r="C409" t="s">
        <v>480</v>
      </c>
      <c r="D409">
        <v>144</v>
      </c>
      <c r="E409">
        <v>864</v>
      </c>
      <c r="F409">
        <v>132827</v>
      </c>
      <c r="G409">
        <v>1033</v>
      </c>
      <c r="H409">
        <v>84</v>
      </c>
      <c r="I409">
        <v>48</v>
      </c>
      <c r="J409">
        <v>6</v>
      </c>
    </row>
    <row r="410" spans="1:10">
      <c r="A410" t="s">
        <v>32</v>
      </c>
      <c r="B410">
        <v>49</v>
      </c>
      <c r="C410" t="s">
        <v>481</v>
      </c>
      <c r="D410">
        <v>147</v>
      </c>
      <c r="E410">
        <v>882</v>
      </c>
      <c r="F410">
        <v>135022</v>
      </c>
      <c r="G410">
        <v>1063</v>
      </c>
      <c r="H410">
        <v>84</v>
      </c>
      <c r="I410">
        <v>49</v>
      </c>
      <c r="J410">
        <v>6</v>
      </c>
    </row>
    <row r="411" spans="1:10">
      <c r="A411" t="s">
        <v>32</v>
      </c>
      <c r="B411">
        <v>50</v>
      </c>
      <c r="C411" t="s">
        <v>482</v>
      </c>
      <c r="D411">
        <v>150</v>
      </c>
      <c r="E411">
        <v>900</v>
      </c>
      <c r="F411">
        <v>137678</v>
      </c>
      <c r="G411">
        <v>1076</v>
      </c>
      <c r="H411">
        <v>85</v>
      </c>
      <c r="I411">
        <v>50</v>
      </c>
      <c r="J411">
        <v>6</v>
      </c>
    </row>
    <row r="412" spans="1:10">
      <c r="A412" t="s">
        <v>32</v>
      </c>
      <c r="B412">
        <v>51</v>
      </c>
      <c r="C412" t="s">
        <v>483</v>
      </c>
      <c r="D412">
        <v>153</v>
      </c>
      <c r="E412">
        <v>918</v>
      </c>
      <c r="F412">
        <v>139689</v>
      </c>
      <c r="G412">
        <v>1089</v>
      </c>
      <c r="H412">
        <v>86</v>
      </c>
      <c r="I412">
        <v>51</v>
      </c>
      <c r="J412">
        <v>6</v>
      </c>
    </row>
    <row r="413" spans="1:10">
      <c r="A413" t="s">
        <v>32</v>
      </c>
      <c r="B413">
        <v>52</v>
      </c>
      <c r="C413" t="s">
        <v>484</v>
      </c>
      <c r="D413">
        <v>156</v>
      </c>
      <c r="E413">
        <v>936</v>
      </c>
      <c r="F413">
        <v>142657</v>
      </c>
      <c r="G413">
        <v>1107</v>
      </c>
      <c r="H413">
        <v>88</v>
      </c>
      <c r="I413">
        <v>52</v>
      </c>
      <c r="J413">
        <v>6</v>
      </c>
    </row>
    <row r="414" spans="1:10">
      <c r="A414" t="s">
        <v>32</v>
      </c>
      <c r="B414">
        <v>53</v>
      </c>
      <c r="C414" t="s">
        <v>485</v>
      </c>
      <c r="D414">
        <v>159</v>
      </c>
      <c r="E414">
        <v>954</v>
      </c>
      <c r="F414">
        <v>145200</v>
      </c>
      <c r="G414">
        <v>1120</v>
      </c>
      <c r="H414">
        <v>90</v>
      </c>
      <c r="I414">
        <v>53</v>
      </c>
      <c r="J414">
        <v>6</v>
      </c>
    </row>
    <row r="415" spans="1:10">
      <c r="A415" t="s">
        <v>32</v>
      </c>
      <c r="B415">
        <v>54</v>
      </c>
      <c r="C415" t="s">
        <v>486</v>
      </c>
      <c r="D415">
        <v>162</v>
      </c>
      <c r="E415">
        <v>972</v>
      </c>
      <c r="F415">
        <v>147967</v>
      </c>
      <c r="G415">
        <v>1138</v>
      </c>
      <c r="H415">
        <v>92</v>
      </c>
      <c r="I415">
        <v>54</v>
      </c>
      <c r="J415">
        <v>7</v>
      </c>
    </row>
    <row r="416" spans="1:10">
      <c r="A416" t="s">
        <v>32</v>
      </c>
      <c r="B416">
        <v>55</v>
      </c>
      <c r="C416" t="s">
        <v>487</v>
      </c>
      <c r="D416">
        <v>165</v>
      </c>
      <c r="E416">
        <v>990</v>
      </c>
      <c r="F416">
        <v>150082</v>
      </c>
      <c r="G416">
        <v>1141</v>
      </c>
      <c r="H416">
        <v>94</v>
      </c>
      <c r="I416">
        <v>55</v>
      </c>
      <c r="J416">
        <v>7</v>
      </c>
    </row>
    <row r="417" spans="1:10">
      <c r="A417" t="s">
        <v>32</v>
      </c>
      <c r="B417">
        <v>56</v>
      </c>
      <c r="C417" t="s">
        <v>488</v>
      </c>
      <c r="D417">
        <v>168</v>
      </c>
      <c r="E417">
        <v>1008</v>
      </c>
      <c r="F417">
        <v>152471</v>
      </c>
      <c r="G417">
        <v>1173</v>
      </c>
      <c r="H417">
        <v>95</v>
      </c>
      <c r="I417">
        <v>56</v>
      </c>
      <c r="J417">
        <v>7</v>
      </c>
    </row>
    <row r="418" spans="1:10">
      <c r="A418" t="s">
        <v>32</v>
      </c>
      <c r="B418">
        <v>57</v>
      </c>
      <c r="C418" t="s">
        <v>489</v>
      </c>
      <c r="D418">
        <v>171</v>
      </c>
      <c r="E418">
        <v>1026</v>
      </c>
      <c r="F418">
        <v>154834</v>
      </c>
      <c r="G418">
        <v>1176</v>
      </c>
      <c r="H418">
        <v>97</v>
      </c>
      <c r="I418">
        <v>57</v>
      </c>
      <c r="J418">
        <v>7</v>
      </c>
    </row>
    <row r="419" spans="1:10">
      <c r="A419" t="s">
        <v>32</v>
      </c>
      <c r="B419">
        <v>58</v>
      </c>
      <c r="C419" t="s">
        <v>490</v>
      </c>
      <c r="D419">
        <v>174</v>
      </c>
      <c r="E419">
        <v>1044</v>
      </c>
      <c r="F419">
        <v>159417</v>
      </c>
      <c r="G419">
        <v>1189</v>
      </c>
      <c r="H419">
        <v>100</v>
      </c>
      <c r="I419">
        <v>58</v>
      </c>
      <c r="J419">
        <v>7</v>
      </c>
    </row>
    <row r="420" spans="1:10">
      <c r="A420" t="s">
        <v>32</v>
      </c>
      <c r="B420">
        <v>59</v>
      </c>
      <c r="C420" t="s">
        <v>491</v>
      </c>
      <c r="D420">
        <v>177</v>
      </c>
      <c r="E420">
        <v>1062</v>
      </c>
      <c r="F420">
        <v>162074</v>
      </c>
      <c r="G420">
        <v>1207</v>
      </c>
      <c r="H420">
        <v>102</v>
      </c>
      <c r="I420">
        <v>59</v>
      </c>
      <c r="J420">
        <v>7</v>
      </c>
    </row>
    <row r="421" spans="1:10">
      <c r="A421" t="s">
        <v>32</v>
      </c>
      <c r="B421">
        <v>60</v>
      </c>
      <c r="C421" t="s">
        <v>492</v>
      </c>
      <c r="D421">
        <v>180</v>
      </c>
      <c r="E421">
        <v>1080</v>
      </c>
      <c r="F421">
        <v>165197</v>
      </c>
      <c r="G421">
        <v>1230</v>
      </c>
      <c r="H421">
        <v>103</v>
      </c>
      <c r="I421">
        <v>60</v>
      </c>
      <c r="J421">
        <v>7</v>
      </c>
    </row>
    <row r="422" spans="1:10">
      <c r="A422" t="s">
        <v>32</v>
      </c>
      <c r="B422">
        <v>61</v>
      </c>
      <c r="C422" t="s">
        <v>493</v>
      </c>
      <c r="D422">
        <v>183</v>
      </c>
      <c r="E422">
        <v>1098</v>
      </c>
      <c r="F422">
        <v>168358</v>
      </c>
      <c r="G422">
        <v>1251</v>
      </c>
      <c r="H422">
        <v>107</v>
      </c>
      <c r="I422">
        <v>61</v>
      </c>
      <c r="J422">
        <v>8</v>
      </c>
    </row>
    <row r="423" spans="1:10">
      <c r="A423" t="s">
        <v>32</v>
      </c>
      <c r="B423">
        <v>62</v>
      </c>
      <c r="C423" t="s">
        <v>494</v>
      </c>
      <c r="D423">
        <v>186</v>
      </c>
      <c r="E423">
        <v>1116</v>
      </c>
      <c r="F423">
        <v>170217</v>
      </c>
      <c r="G423">
        <v>1254</v>
      </c>
      <c r="H423">
        <v>109</v>
      </c>
      <c r="I423">
        <v>62</v>
      </c>
      <c r="J423">
        <v>8</v>
      </c>
    </row>
    <row r="424" spans="1:10">
      <c r="A424" t="s">
        <v>32</v>
      </c>
      <c r="B424">
        <v>63</v>
      </c>
      <c r="C424" t="s">
        <v>495</v>
      </c>
      <c r="D424">
        <v>189</v>
      </c>
      <c r="E424">
        <v>1134</v>
      </c>
      <c r="F424">
        <v>172183</v>
      </c>
      <c r="G424">
        <v>1282</v>
      </c>
      <c r="H424">
        <v>110</v>
      </c>
      <c r="I424">
        <v>63</v>
      </c>
      <c r="J424">
        <v>8</v>
      </c>
    </row>
    <row r="425" spans="1:10">
      <c r="A425" t="s">
        <v>32</v>
      </c>
      <c r="B425">
        <v>64</v>
      </c>
      <c r="C425" t="s">
        <v>496</v>
      </c>
      <c r="D425">
        <v>192</v>
      </c>
      <c r="E425">
        <v>1152</v>
      </c>
      <c r="F425">
        <v>174231</v>
      </c>
      <c r="G425">
        <v>1290</v>
      </c>
      <c r="H425">
        <v>112</v>
      </c>
      <c r="I425">
        <v>64</v>
      </c>
      <c r="J425">
        <v>8</v>
      </c>
    </row>
    <row r="426" spans="1:10">
      <c r="A426" t="s">
        <v>32</v>
      </c>
      <c r="B426">
        <v>65</v>
      </c>
      <c r="C426" t="s">
        <v>497</v>
      </c>
      <c r="D426">
        <v>195</v>
      </c>
      <c r="E426">
        <v>1170</v>
      </c>
      <c r="F426">
        <v>176607</v>
      </c>
      <c r="G426">
        <v>1295</v>
      </c>
      <c r="H426">
        <v>114</v>
      </c>
      <c r="I426">
        <v>65</v>
      </c>
      <c r="J426">
        <v>8</v>
      </c>
    </row>
    <row r="427" spans="1:10">
      <c r="A427" t="s">
        <v>32</v>
      </c>
      <c r="B427">
        <v>66</v>
      </c>
      <c r="C427" t="s">
        <v>498</v>
      </c>
      <c r="D427">
        <v>198</v>
      </c>
      <c r="E427">
        <v>1188</v>
      </c>
      <c r="F427">
        <v>180384</v>
      </c>
      <c r="G427">
        <v>1333</v>
      </c>
      <c r="H427">
        <v>117</v>
      </c>
      <c r="I427">
        <v>66</v>
      </c>
      <c r="J427">
        <v>8</v>
      </c>
    </row>
    <row r="428" spans="1:10">
      <c r="A428" t="s">
        <v>32</v>
      </c>
      <c r="B428">
        <v>67</v>
      </c>
      <c r="C428" t="s">
        <v>499</v>
      </c>
      <c r="D428">
        <v>201</v>
      </c>
      <c r="E428">
        <v>1206</v>
      </c>
      <c r="F428">
        <v>185881</v>
      </c>
      <c r="G428">
        <v>1336</v>
      </c>
      <c r="H428">
        <v>118</v>
      </c>
      <c r="I428">
        <v>67</v>
      </c>
      <c r="J428">
        <v>8</v>
      </c>
    </row>
    <row r="429" spans="1:10">
      <c r="A429" t="s">
        <v>32</v>
      </c>
      <c r="B429">
        <v>68</v>
      </c>
      <c r="C429" t="s">
        <v>500</v>
      </c>
      <c r="D429">
        <v>204</v>
      </c>
      <c r="E429">
        <v>1224</v>
      </c>
      <c r="F429">
        <v>189149</v>
      </c>
      <c r="G429">
        <v>1349</v>
      </c>
      <c r="H429">
        <v>119</v>
      </c>
      <c r="I429">
        <v>68</v>
      </c>
      <c r="J429">
        <v>8</v>
      </c>
    </row>
    <row r="430" spans="1:10">
      <c r="A430" t="s">
        <v>32</v>
      </c>
      <c r="B430">
        <v>69</v>
      </c>
      <c r="C430" t="s">
        <v>501</v>
      </c>
      <c r="D430">
        <v>207</v>
      </c>
      <c r="E430">
        <v>1242</v>
      </c>
      <c r="F430">
        <v>192387</v>
      </c>
      <c r="G430">
        <v>1367</v>
      </c>
      <c r="H430">
        <v>122</v>
      </c>
      <c r="I430">
        <v>69</v>
      </c>
      <c r="J430">
        <v>9</v>
      </c>
    </row>
    <row r="431" spans="1:10">
      <c r="A431" t="s">
        <v>32</v>
      </c>
      <c r="B431">
        <v>70</v>
      </c>
      <c r="C431" t="s">
        <v>502</v>
      </c>
      <c r="D431">
        <v>210</v>
      </c>
      <c r="E431">
        <v>1260</v>
      </c>
      <c r="F431">
        <v>194812</v>
      </c>
      <c r="G431">
        <v>1398</v>
      </c>
      <c r="H431">
        <v>125</v>
      </c>
      <c r="I431">
        <v>70</v>
      </c>
      <c r="J431">
        <v>9</v>
      </c>
    </row>
    <row r="432" spans="1:10">
      <c r="A432" t="s">
        <v>32</v>
      </c>
      <c r="B432">
        <v>71</v>
      </c>
      <c r="C432" t="s">
        <v>503</v>
      </c>
      <c r="D432">
        <v>213</v>
      </c>
      <c r="E432">
        <v>1278</v>
      </c>
      <c r="F432">
        <v>196798</v>
      </c>
      <c r="G432">
        <v>1403</v>
      </c>
      <c r="H432">
        <v>126</v>
      </c>
      <c r="I432">
        <v>71</v>
      </c>
      <c r="J432">
        <v>9</v>
      </c>
    </row>
    <row r="433" spans="1:10">
      <c r="A433" t="s">
        <v>32</v>
      </c>
      <c r="B433">
        <v>72</v>
      </c>
      <c r="C433" t="s">
        <v>504</v>
      </c>
      <c r="D433">
        <v>216</v>
      </c>
      <c r="E433">
        <v>1296</v>
      </c>
      <c r="F433">
        <v>199364</v>
      </c>
      <c r="G433">
        <v>1413</v>
      </c>
      <c r="H433">
        <v>127</v>
      </c>
      <c r="I433">
        <v>72</v>
      </c>
      <c r="J433">
        <v>9</v>
      </c>
    </row>
    <row r="434" spans="1:10">
      <c r="A434" t="s">
        <v>32</v>
      </c>
      <c r="B434">
        <v>73</v>
      </c>
      <c r="C434" t="s">
        <v>505</v>
      </c>
      <c r="D434">
        <v>219</v>
      </c>
      <c r="E434">
        <v>1314</v>
      </c>
      <c r="F434">
        <v>202744</v>
      </c>
      <c r="G434">
        <v>1451</v>
      </c>
      <c r="H434">
        <v>128</v>
      </c>
      <c r="I434">
        <v>73</v>
      </c>
      <c r="J434">
        <v>9</v>
      </c>
    </row>
    <row r="435" spans="1:10">
      <c r="A435" t="s">
        <v>32</v>
      </c>
      <c r="B435">
        <v>74</v>
      </c>
      <c r="C435" t="s">
        <v>506</v>
      </c>
      <c r="D435">
        <v>222</v>
      </c>
      <c r="E435">
        <v>1332</v>
      </c>
      <c r="F435">
        <v>205229</v>
      </c>
      <c r="G435">
        <v>1459</v>
      </c>
      <c r="H435">
        <v>131</v>
      </c>
      <c r="I435">
        <v>74</v>
      </c>
      <c r="J435">
        <v>9</v>
      </c>
    </row>
    <row r="436" spans="1:10">
      <c r="A436" t="s">
        <v>32</v>
      </c>
      <c r="B436">
        <v>75</v>
      </c>
      <c r="C436" t="s">
        <v>507</v>
      </c>
      <c r="D436">
        <v>225</v>
      </c>
      <c r="E436">
        <v>1350</v>
      </c>
      <c r="F436">
        <v>208511</v>
      </c>
      <c r="G436">
        <v>1462</v>
      </c>
      <c r="H436">
        <v>133</v>
      </c>
      <c r="I436">
        <v>75</v>
      </c>
      <c r="J436">
        <v>9</v>
      </c>
    </row>
    <row r="437" spans="1:10">
      <c r="A437" t="s">
        <v>32</v>
      </c>
      <c r="B437">
        <v>76</v>
      </c>
      <c r="C437" t="s">
        <v>508</v>
      </c>
      <c r="D437">
        <v>228</v>
      </c>
      <c r="E437">
        <v>1368</v>
      </c>
      <c r="F437">
        <v>213529</v>
      </c>
      <c r="G437">
        <v>1480</v>
      </c>
      <c r="H437">
        <v>135</v>
      </c>
      <c r="I437">
        <v>76</v>
      </c>
      <c r="J437">
        <v>10</v>
      </c>
    </row>
    <row r="438" spans="1:10">
      <c r="A438" t="s">
        <v>32</v>
      </c>
      <c r="B438">
        <v>77</v>
      </c>
      <c r="C438" t="s">
        <v>509</v>
      </c>
      <c r="D438">
        <v>231</v>
      </c>
      <c r="E438">
        <v>1386</v>
      </c>
      <c r="F438">
        <v>218043</v>
      </c>
      <c r="G438">
        <v>1511</v>
      </c>
      <c r="H438">
        <v>138</v>
      </c>
      <c r="I438">
        <v>77</v>
      </c>
      <c r="J438">
        <v>10</v>
      </c>
    </row>
    <row r="439" spans="1:10">
      <c r="A439" t="s">
        <v>32</v>
      </c>
      <c r="B439">
        <v>78</v>
      </c>
      <c r="C439" t="s">
        <v>510</v>
      </c>
      <c r="D439">
        <v>234</v>
      </c>
      <c r="E439">
        <v>1404</v>
      </c>
      <c r="F439">
        <v>219718</v>
      </c>
      <c r="G439">
        <v>1516</v>
      </c>
      <c r="H439">
        <v>139</v>
      </c>
      <c r="I439">
        <v>78</v>
      </c>
      <c r="J439">
        <v>10</v>
      </c>
    </row>
    <row r="440" spans="1:10">
      <c r="A440" t="s">
        <v>32</v>
      </c>
      <c r="B440">
        <v>79</v>
      </c>
      <c r="C440" t="s">
        <v>511</v>
      </c>
      <c r="D440">
        <v>237</v>
      </c>
      <c r="E440">
        <v>1422</v>
      </c>
      <c r="F440">
        <v>221584</v>
      </c>
      <c r="G440">
        <v>1519</v>
      </c>
      <c r="H440">
        <v>140</v>
      </c>
      <c r="I440">
        <v>79</v>
      </c>
      <c r="J440">
        <v>10</v>
      </c>
    </row>
    <row r="441" spans="1:10">
      <c r="A441" t="s">
        <v>32</v>
      </c>
      <c r="B441">
        <v>80</v>
      </c>
      <c r="C441" t="s">
        <v>512</v>
      </c>
      <c r="D441">
        <v>240</v>
      </c>
      <c r="E441">
        <v>1440</v>
      </c>
      <c r="F441">
        <v>223835</v>
      </c>
      <c r="G441">
        <v>1524</v>
      </c>
      <c r="H441">
        <v>141</v>
      </c>
      <c r="I441">
        <v>80</v>
      </c>
      <c r="J441">
        <v>10</v>
      </c>
    </row>
    <row r="442" spans="1:10">
      <c r="A442" t="s">
        <v>32</v>
      </c>
      <c r="B442">
        <v>81</v>
      </c>
      <c r="C442" t="s">
        <v>513</v>
      </c>
      <c r="D442">
        <v>243</v>
      </c>
      <c r="E442">
        <v>1458</v>
      </c>
      <c r="F442">
        <v>226706</v>
      </c>
      <c r="G442">
        <v>1544</v>
      </c>
      <c r="H442">
        <v>143</v>
      </c>
      <c r="I442">
        <v>81</v>
      </c>
      <c r="J442">
        <v>10</v>
      </c>
    </row>
    <row r="443" spans="1:10">
      <c r="A443" t="s">
        <v>32</v>
      </c>
      <c r="B443">
        <v>82</v>
      </c>
      <c r="C443" t="s">
        <v>514</v>
      </c>
      <c r="D443">
        <v>246</v>
      </c>
      <c r="E443">
        <v>1476</v>
      </c>
      <c r="F443">
        <v>229023</v>
      </c>
      <c r="G443">
        <v>1567</v>
      </c>
      <c r="H443">
        <v>145</v>
      </c>
      <c r="I443">
        <v>82</v>
      </c>
      <c r="J443">
        <v>10</v>
      </c>
    </row>
    <row r="444" spans="1:10">
      <c r="A444" t="s">
        <v>32</v>
      </c>
      <c r="B444">
        <v>83</v>
      </c>
      <c r="C444" t="s">
        <v>515</v>
      </c>
      <c r="D444">
        <v>249</v>
      </c>
      <c r="E444">
        <v>1494</v>
      </c>
      <c r="F444">
        <v>232335</v>
      </c>
      <c r="G444">
        <v>1575</v>
      </c>
      <c r="H444">
        <v>148</v>
      </c>
      <c r="I444">
        <v>83</v>
      </c>
      <c r="J444">
        <v>10</v>
      </c>
    </row>
    <row r="445" spans="1:10">
      <c r="A445" t="s">
        <v>32</v>
      </c>
      <c r="B445">
        <v>84</v>
      </c>
      <c r="C445" t="s">
        <v>516</v>
      </c>
      <c r="D445">
        <v>252</v>
      </c>
      <c r="E445">
        <v>1512</v>
      </c>
      <c r="F445">
        <v>235254</v>
      </c>
      <c r="G445">
        <v>1618</v>
      </c>
      <c r="H445">
        <v>149</v>
      </c>
      <c r="I445">
        <v>84</v>
      </c>
      <c r="J445">
        <v>11</v>
      </c>
    </row>
    <row r="446" spans="1:10">
      <c r="A446" t="s">
        <v>32</v>
      </c>
      <c r="B446">
        <v>85</v>
      </c>
      <c r="C446" t="s">
        <v>517</v>
      </c>
      <c r="D446">
        <v>255</v>
      </c>
      <c r="E446">
        <v>1530</v>
      </c>
      <c r="F446">
        <v>237395</v>
      </c>
      <c r="G446">
        <v>1621</v>
      </c>
      <c r="H446">
        <v>151</v>
      </c>
      <c r="I446">
        <v>85</v>
      </c>
      <c r="J446">
        <v>11</v>
      </c>
    </row>
    <row r="447" spans="1:10">
      <c r="A447" t="s">
        <v>32</v>
      </c>
      <c r="B447">
        <v>86</v>
      </c>
      <c r="C447" t="s">
        <v>518</v>
      </c>
      <c r="D447">
        <v>258</v>
      </c>
      <c r="E447">
        <v>1548</v>
      </c>
      <c r="F447">
        <v>239588</v>
      </c>
      <c r="G447">
        <v>1626</v>
      </c>
      <c r="H447">
        <v>153</v>
      </c>
      <c r="I447">
        <v>86</v>
      </c>
      <c r="J447">
        <v>11</v>
      </c>
    </row>
    <row r="448" spans="1:10">
      <c r="A448" t="s">
        <v>32</v>
      </c>
      <c r="B448">
        <v>87</v>
      </c>
      <c r="C448" t="s">
        <v>519</v>
      </c>
      <c r="D448">
        <v>261</v>
      </c>
      <c r="E448">
        <v>1566</v>
      </c>
      <c r="F448">
        <v>242384</v>
      </c>
      <c r="G448">
        <v>1651</v>
      </c>
      <c r="H448">
        <v>155</v>
      </c>
      <c r="I448">
        <v>87</v>
      </c>
      <c r="J448">
        <v>11</v>
      </c>
    </row>
    <row r="449" spans="1:10">
      <c r="A449" t="s">
        <v>32</v>
      </c>
      <c r="B449">
        <v>88</v>
      </c>
      <c r="C449" t="s">
        <v>520</v>
      </c>
      <c r="D449">
        <v>264</v>
      </c>
      <c r="E449">
        <v>1584</v>
      </c>
      <c r="F449">
        <v>245361</v>
      </c>
      <c r="G449">
        <v>1671</v>
      </c>
      <c r="H449">
        <v>156</v>
      </c>
      <c r="I449">
        <v>88</v>
      </c>
      <c r="J449">
        <v>11</v>
      </c>
    </row>
    <row r="450" spans="1:10">
      <c r="A450" t="s">
        <v>32</v>
      </c>
      <c r="B450">
        <v>89</v>
      </c>
      <c r="C450" t="s">
        <v>521</v>
      </c>
      <c r="D450">
        <v>267</v>
      </c>
      <c r="E450">
        <v>1602</v>
      </c>
      <c r="F450">
        <v>247129</v>
      </c>
      <c r="G450">
        <v>1674</v>
      </c>
      <c r="H450">
        <v>159</v>
      </c>
      <c r="I450">
        <v>89</v>
      </c>
      <c r="J450">
        <v>11</v>
      </c>
    </row>
    <row r="451" spans="1:10">
      <c r="A451" t="s">
        <v>32</v>
      </c>
      <c r="B451">
        <v>90</v>
      </c>
      <c r="C451" t="s">
        <v>522</v>
      </c>
      <c r="D451">
        <v>270</v>
      </c>
      <c r="E451">
        <v>1620</v>
      </c>
      <c r="F451">
        <v>250040</v>
      </c>
      <c r="G451">
        <v>1677</v>
      </c>
      <c r="H451">
        <v>161</v>
      </c>
      <c r="I451">
        <v>90</v>
      </c>
      <c r="J451">
        <v>11</v>
      </c>
    </row>
  </sheetData>
  <autoFilter ref="A1:J451"/>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B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8.7109375" customWidth="1"/>
    <col min="2" max="2" width="112.7109375" customWidth="1"/>
  </cols>
  <sheetData>
    <row r="1" spans="1:2" ht="32" customHeight="1">
      <c r="A1" s="4" t="s">
        <v>82</v>
      </c>
      <c r="B1" s="4" t="s">
        <v>523</v>
      </c>
    </row>
    <row r="2" spans="1:2" ht="43" customHeight="1">
      <c r="A2" s="2" t="s">
        <v>524</v>
      </c>
      <c r="B2" s="2" t="s">
        <v>525</v>
      </c>
    </row>
    <row r="3" spans="1:2" ht="43" customHeight="1">
      <c r="A3" s="2" t="s">
        <v>526</v>
      </c>
      <c r="B3" s="2" t="s">
        <v>527</v>
      </c>
    </row>
    <row r="4" spans="1:2" ht="43" customHeight="1">
      <c r="A4" s="2" t="s">
        <v>528</v>
      </c>
      <c r="B4" s="2" t="s">
        <v>529</v>
      </c>
    </row>
    <row r="5" spans="1:2" ht="43" customHeight="1">
      <c r="A5" s="2" t="s">
        <v>530</v>
      </c>
      <c r="B5" s="2" t="s">
        <v>531</v>
      </c>
    </row>
    <row r="6" spans="1:2" ht="43" customHeight="1">
      <c r="A6" s="2" t="s">
        <v>532</v>
      </c>
      <c r="B6" s="2" t="s">
        <v>533</v>
      </c>
    </row>
    <row r="7" spans="1:2" ht="43" customHeight="1">
      <c r="A7" s="2" t="s">
        <v>534</v>
      </c>
      <c r="B7" s="2" t="s">
        <v>535</v>
      </c>
    </row>
    <row r="8" spans="1:2" ht="43" customHeight="1">
      <c r="A8" s="2" t="s">
        <v>536</v>
      </c>
      <c r="B8" s="2" t="s">
        <v>537</v>
      </c>
    </row>
    <row r="9" spans="1:2" ht="43" customHeight="1">
      <c r="A9" s="2" t="s">
        <v>538</v>
      </c>
      <c r="B9" s="2" t="s">
        <v>539</v>
      </c>
    </row>
    <row r="11" spans="1:2">
      <c r="A11" t="s">
        <v>540</v>
      </c>
      <c r="B11" t="s">
        <v>541</v>
      </c>
    </row>
    <row r="12" spans="1:2">
      <c r="A12" t="s">
        <v>542</v>
      </c>
      <c r="B12" t="s">
        <v>543</v>
      </c>
    </row>
    <row r="13" spans="1:2">
      <c r="A13" t="s">
        <v>544</v>
      </c>
      <c r="B13" t="s">
        <v>545</v>
      </c>
    </row>
    <row r="14" spans="1:2">
      <c r="A14" t="s">
        <v>546</v>
      </c>
      <c r="B14" t="s">
        <v>547</v>
      </c>
    </row>
    <row r="15" spans="1:2">
      <c r="A15" t="s">
        <v>548</v>
      </c>
      <c r="B15" t="s">
        <v>549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L2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2" width="8.7109375" customWidth="1"/>
    <col min="3" max="4" width="15.7109375" customWidth="1"/>
    <col min="5" max="8" width="14.7109375" customWidth="1"/>
    <col min="9" max="9" width="30.7109375" customWidth="1"/>
    <col min="10" max="10" width="14.7109375" customWidth="1"/>
    <col min="11" max="11" width="22.7109375" customWidth="1"/>
    <col min="12" max="12" width="18.7109375" customWidth="1"/>
  </cols>
  <sheetData>
    <row r="1" spans="1:12" ht="32" customHeight="1">
      <c r="A1" s="4" t="s">
        <v>19</v>
      </c>
      <c r="B1" s="4" t="s">
        <v>20</v>
      </c>
      <c r="C1" s="4" t="s">
        <v>550</v>
      </c>
      <c r="D1" s="4" t="s">
        <v>551</v>
      </c>
      <c r="E1" s="4" t="s">
        <v>552</v>
      </c>
      <c r="F1" s="4" t="s">
        <v>553</v>
      </c>
      <c r="G1" s="4" t="s">
        <v>554</v>
      </c>
      <c r="H1" s="4" t="s">
        <v>555</v>
      </c>
      <c r="I1" s="4" t="s">
        <v>556</v>
      </c>
      <c r="J1" s="4" t="s">
        <v>557</v>
      </c>
      <c r="K1" s="4" t="s">
        <v>558</v>
      </c>
      <c r="L1" s="4" t="s">
        <v>559</v>
      </c>
    </row>
    <row r="2" spans="1:12">
      <c r="A2" t="s">
        <v>28</v>
      </c>
      <c r="B2">
        <v>1</v>
      </c>
      <c r="C2">
        <v>1242</v>
      </c>
      <c r="D2">
        <v>1362</v>
      </c>
      <c r="E2" s="9">
        <f>IF(C2&gt;0,D2/C2-1,0)</f>
        <v>0.09661835748792269</v>
      </c>
      <c r="F2">
        <v>79</v>
      </c>
      <c r="G2">
        <v>82</v>
      </c>
      <c r="H2" s="9">
        <f>IF(F2&gt;0,G2/F2-1,0)</f>
        <v>0.03797468354430378</v>
      </c>
      <c r="I2">
        <v>0</v>
      </c>
      <c r="J2">
        <v>0</v>
      </c>
      <c r="K2">
        <v>16</v>
      </c>
      <c r="L2">
        <v>1</v>
      </c>
    </row>
    <row r="3" spans="1:12">
      <c r="A3" t="s">
        <v>28</v>
      </c>
      <c r="B3">
        <v>7</v>
      </c>
      <c r="C3">
        <v>3315</v>
      </c>
      <c r="D3">
        <v>3741</v>
      </c>
      <c r="E3" s="9">
        <f>IF(C3&gt;0,D3/C3-1,0)</f>
        <v>0.12850678733031673</v>
      </c>
      <c r="F3">
        <v>96</v>
      </c>
      <c r="G3">
        <v>114</v>
      </c>
      <c r="H3" s="9">
        <f>IF(F3&gt;0,G3/F3-1,0)</f>
        <v>0.1875</v>
      </c>
      <c r="I3">
        <v>450</v>
      </c>
      <c r="J3">
        <v>1</v>
      </c>
      <c r="K3">
        <v>21</v>
      </c>
      <c r="L3">
        <v>1</v>
      </c>
    </row>
    <row r="4" spans="1:12">
      <c r="A4" t="s">
        <v>28</v>
      </c>
      <c r="B4">
        <v>30</v>
      </c>
      <c r="C4">
        <v>12520</v>
      </c>
      <c r="D4">
        <v>15132</v>
      </c>
      <c r="E4" s="9">
        <f>IF(C4&gt;0,D4/C4-1,0)</f>
        <v>0.20862619808306704</v>
      </c>
      <c r="F4">
        <v>192</v>
      </c>
      <c r="G4">
        <v>218</v>
      </c>
      <c r="H4" s="9">
        <f>IF(F4&gt;0,G4/F4-1,0)</f>
        <v>0.13541666666666674</v>
      </c>
      <c r="I4">
        <v>1900</v>
      </c>
      <c r="J4">
        <v>2</v>
      </c>
      <c r="K4">
        <v>26</v>
      </c>
      <c r="L4">
        <v>1</v>
      </c>
    </row>
    <row r="5" spans="1:12">
      <c r="A5" t="s">
        <v>28</v>
      </c>
      <c r="B5">
        <v>90</v>
      </c>
      <c r="C5">
        <v>38389</v>
      </c>
      <c r="D5">
        <v>48951</v>
      </c>
      <c r="E5" s="9">
        <f>IF(C5&gt;0,D5/C5-1,0)</f>
        <v>0.2751308968714996</v>
      </c>
      <c r="F5">
        <v>468</v>
      </c>
      <c r="G5">
        <v>527</v>
      </c>
      <c r="H5" s="9">
        <f>IF(F5&gt;0,G5/F5-1,0)</f>
        <v>0.12606837606837606</v>
      </c>
      <c r="I5">
        <v>1900</v>
      </c>
      <c r="J5">
        <v>2</v>
      </c>
      <c r="K5">
        <v>36</v>
      </c>
      <c r="L5">
        <v>1</v>
      </c>
    </row>
    <row r="6" spans="1:12">
      <c r="A6" t="s">
        <v>29</v>
      </c>
      <c r="B6">
        <v>1</v>
      </c>
      <c r="C6">
        <v>1289</v>
      </c>
      <c r="D6">
        <v>1409</v>
      </c>
      <c r="E6" s="9">
        <f>IF(C6&gt;0,D6/C6-1,0)</f>
        <v>0.09309542280837868</v>
      </c>
      <c r="F6">
        <v>79</v>
      </c>
      <c r="G6">
        <v>82</v>
      </c>
      <c r="H6" s="9">
        <f>IF(F6&gt;0,G6/F6-1,0)</f>
        <v>0.03797468354430378</v>
      </c>
      <c r="I6">
        <v>0</v>
      </c>
      <c r="J6">
        <v>0</v>
      </c>
      <c r="K6">
        <v>16</v>
      </c>
      <c r="L6">
        <v>1</v>
      </c>
    </row>
    <row r="7" spans="1:12">
      <c r="A7" t="s">
        <v>29</v>
      </c>
      <c r="B7">
        <v>7</v>
      </c>
      <c r="C7">
        <v>4679</v>
      </c>
      <c r="D7">
        <v>5385</v>
      </c>
      <c r="E7" s="9">
        <f>IF(C7&gt;0,D7/C7-1,0)</f>
        <v>0.15088694165419958</v>
      </c>
      <c r="F7">
        <v>100</v>
      </c>
      <c r="G7">
        <v>121</v>
      </c>
      <c r="H7" s="9">
        <f>IF(F7&gt;0,G7/F7-1,0)</f>
        <v>0.20999999999999996</v>
      </c>
      <c r="I7">
        <v>450</v>
      </c>
      <c r="J7">
        <v>1</v>
      </c>
      <c r="K7">
        <v>21</v>
      </c>
      <c r="L7">
        <v>1</v>
      </c>
    </row>
    <row r="8" spans="1:12">
      <c r="A8" t="s">
        <v>29</v>
      </c>
      <c r="B8">
        <v>30</v>
      </c>
      <c r="C8">
        <v>25510</v>
      </c>
      <c r="D8">
        <v>29844</v>
      </c>
      <c r="E8" s="9">
        <f>IF(C8&gt;0,D8/C8-1,0)</f>
        <v>0.16989415915327322</v>
      </c>
      <c r="F8">
        <v>356</v>
      </c>
      <c r="G8">
        <v>409</v>
      </c>
      <c r="H8" s="9">
        <f>IF(F8&gt;0,G8/F8-1,0)</f>
        <v>0.148876404494382</v>
      </c>
      <c r="I8">
        <v>1900</v>
      </c>
      <c r="J8">
        <v>2</v>
      </c>
      <c r="K8">
        <v>27</v>
      </c>
      <c r="L8">
        <v>2</v>
      </c>
    </row>
    <row r="9" spans="1:12">
      <c r="A9" t="s">
        <v>29</v>
      </c>
      <c r="B9">
        <v>90</v>
      </c>
      <c r="C9">
        <v>73490</v>
      </c>
      <c r="D9">
        <v>91244</v>
      </c>
      <c r="E9" s="9">
        <f>IF(C9&gt;0,D9/C9-1,0)</f>
        <v>0.24158388896448502</v>
      </c>
      <c r="F9">
        <v>757</v>
      </c>
      <c r="G9">
        <v>888</v>
      </c>
      <c r="H9" s="9">
        <f>IF(F9&gt;0,G9/F9-1,0)</f>
        <v>0.1730515191545574</v>
      </c>
      <c r="I9">
        <v>1900</v>
      </c>
      <c r="J9">
        <v>4</v>
      </c>
      <c r="K9">
        <v>44</v>
      </c>
      <c r="L9">
        <v>1</v>
      </c>
    </row>
    <row r="10" spans="1:12">
      <c r="A10" t="s">
        <v>30</v>
      </c>
      <c r="B10">
        <v>1</v>
      </c>
      <c r="C10">
        <v>1420</v>
      </c>
      <c r="D10">
        <v>1540</v>
      </c>
      <c r="E10" s="9">
        <f>IF(C10&gt;0,D10/C10-1,0)</f>
        <v>0.08450704225352124</v>
      </c>
      <c r="F10">
        <v>79</v>
      </c>
      <c r="G10">
        <v>82</v>
      </c>
      <c r="H10" s="9">
        <f>IF(F10&gt;0,G10/F10-1,0)</f>
        <v>0.03797468354430378</v>
      </c>
      <c r="I10">
        <v>0</v>
      </c>
      <c r="J10">
        <v>0</v>
      </c>
      <c r="K10">
        <v>18</v>
      </c>
      <c r="L10">
        <v>1</v>
      </c>
    </row>
    <row r="11" spans="1:12">
      <c r="A11" t="s">
        <v>30</v>
      </c>
      <c r="B11">
        <v>7</v>
      </c>
      <c r="C11">
        <v>14447</v>
      </c>
      <c r="D11">
        <v>16421</v>
      </c>
      <c r="E11" s="9">
        <f>IF(C11&gt;0,D11/C11-1,0)</f>
        <v>0.1366373641586489</v>
      </c>
      <c r="F11">
        <v>222</v>
      </c>
      <c r="G11">
        <v>270</v>
      </c>
      <c r="H11" s="9">
        <f>IF(F11&gt;0,G11/F11-1,0)</f>
        <v>0.21621621621621623</v>
      </c>
      <c r="I11">
        <v>2500</v>
      </c>
      <c r="J11">
        <v>2</v>
      </c>
      <c r="K11">
        <v>26</v>
      </c>
      <c r="L11">
        <v>7</v>
      </c>
    </row>
    <row r="12" spans="1:12">
      <c r="A12" t="s">
        <v>30</v>
      </c>
      <c r="B12">
        <v>30</v>
      </c>
      <c r="C12">
        <v>57259</v>
      </c>
      <c r="D12">
        <v>68837</v>
      </c>
      <c r="E12" s="9">
        <f>IF(C12&gt;0,D12/C12-1,0)</f>
        <v>0.2022040203286819</v>
      </c>
      <c r="F12">
        <v>612</v>
      </c>
      <c r="G12">
        <v>720</v>
      </c>
      <c r="H12" s="9">
        <f>IF(F12&gt;0,G12/F12-1,0)</f>
        <v>0.17647058823529416</v>
      </c>
      <c r="I12">
        <v>5900</v>
      </c>
      <c r="J12">
        <v>3</v>
      </c>
      <c r="K12">
        <v>40</v>
      </c>
      <c r="L12">
        <v>30</v>
      </c>
    </row>
    <row r="13" spans="1:12">
      <c r="A13" t="s">
        <v>30</v>
      </c>
      <c r="B13">
        <v>90</v>
      </c>
      <c r="C13">
        <v>171380</v>
      </c>
      <c r="D13">
        <v>215526</v>
      </c>
      <c r="E13" s="9">
        <f>IF(C13&gt;0,D13/C13-1,0)</f>
        <v>0.25759131753996956</v>
      </c>
      <c r="F13">
        <v>1391</v>
      </c>
      <c r="G13">
        <v>1677</v>
      </c>
      <c r="H13" s="9">
        <f>IF(F13&gt;0,G13/F13-1,0)</f>
        <v>0.20560747663551404</v>
      </c>
      <c r="I13">
        <v>5900</v>
      </c>
      <c r="J13">
        <v>5</v>
      </c>
      <c r="K13">
        <v>50</v>
      </c>
      <c r="L13">
        <v>90</v>
      </c>
    </row>
    <row r="14" spans="1:12">
      <c r="A14" t="s">
        <v>31</v>
      </c>
      <c r="B14">
        <v>1</v>
      </c>
      <c r="C14">
        <v>3597</v>
      </c>
      <c r="D14">
        <v>3845</v>
      </c>
      <c r="E14" s="9">
        <f>IF(C14&gt;0,D14/C14-1,0)</f>
        <v>0.06894634417570189</v>
      </c>
      <c r="F14">
        <v>98</v>
      </c>
      <c r="G14">
        <v>101</v>
      </c>
      <c r="H14" s="9">
        <f>IF(F14&gt;0,G14/F14-1,0)</f>
        <v>0.030612244897959107</v>
      </c>
      <c r="I14">
        <v>0</v>
      </c>
      <c r="J14">
        <v>0</v>
      </c>
      <c r="K14">
        <v>16</v>
      </c>
      <c r="L14">
        <v>1</v>
      </c>
    </row>
    <row r="15" spans="1:12">
      <c r="A15" t="s">
        <v>31</v>
      </c>
      <c r="B15">
        <v>7</v>
      </c>
      <c r="C15">
        <v>29830</v>
      </c>
      <c r="D15">
        <v>32976</v>
      </c>
      <c r="E15" s="9">
        <f>IF(C15&gt;0,D15/C15-1,0)</f>
        <v>0.10546429768689247</v>
      </c>
      <c r="F15">
        <v>383</v>
      </c>
      <c r="G15">
        <v>434</v>
      </c>
      <c r="H15" s="9">
        <f>IF(F15&gt;0,G15/F15-1,0)</f>
        <v>0.13315926892950403</v>
      </c>
      <c r="I15">
        <v>2500</v>
      </c>
      <c r="J15">
        <v>2</v>
      </c>
      <c r="K15">
        <v>22</v>
      </c>
      <c r="L15">
        <v>7</v>
      </c>
    </row>
    <row r="16" spans="1:12">
      <c r="A16" t="s">
        <v>31</v>
      </c>
      <c r="B16">
        <v>30</v>
      </c>
      <c r="C16">
        <v>127682</v>
      </c>
      <c r="D16">
        <v>150032</v>
      </c>
      <c r="E16" s="9">
        <f>IF(C16&gt;0,D16/C16-1,0)</f>
        <v>0.17504425055998496</v>
      </c>
      <c r="F16">
        <v>960</v>
      </c>
      <c r="G16">
        <v>1089</v>
      </c>
      <c r="H16" s="9">
        <f>IF(F16&gt;0,G16/F16-1,0)</f>
        <v>0.1343749999999999</v>
      </c>
      <c r="I16">
        <v>5900</v>
      </c>
      <c r="J16">
        <v>5</v>
      </c>
      <c r="K16">
        <v>50</v>
      </c>
      <c r="L16">
        <v>30</v>
      </c>
    </row>
    <row r="17" spans="1:12">
      <c r="A17" t="s">
        <v>31</v>
      </c>
      <c r="B17">
        <v>90</v>
      </c>
      <c r="C17">
        <v>297761</v>
      </c>
      <c r="D17">
        <v>378511</v>
      </c>
      <c r="E17" s="9">
        <f>IF(C17&gt;0,D17/C17-1,0)</f>
        <v>0.2711906529061898</v>
      </c>
      <c r="F17">
        <v>1758</v>
      </c>
      <c r="G17">
        <v>2095</v>
      </c>
      <c r="H17" s="9">
        <f>IF(F17&gt;0,G17/F17-1,0)</f>
        <v>0.19169510807736057</v>
      </c>
      <c r="I17">
        <v>5900</v>
      </c>
      <c r="J17">
        <v>5</v>
      </c>
      <c r="K17">
        <v>50</v>
      </c>
      <c r="L17">
        <v>90</v>
      </c>
    </row>
    <row r="18" spans="1:12">
      <c r="A18" t="s">
        <v>32</v>
      </c>
      <c r="B18">
        <v>1</v>
      </c>
      <c r="C18">
        <v>1690</v>
      </c>
      <c r="D18">
        <v>1810</v>
      </c>
      <c r="E18" s="9">
        <f>IF(C18&gt;0,D18/C18-1,0)</f>
        <v>0.07100591715976323</v>
      </c>
      <c r="F18">
        <v>79</v>
      </c>
      <c r="G18">
        <v>82</v>
      </c>
      <c r="H18" s="9">
        <f>IF(F18&gt;0,G18/F18-1,0)</f>
        <v>0.03797468354430378</v>
      </c>
      <c r="I18">
        <v>0</v>
      </c>
      <c r="J18">
        <v>0</v>
      </c>
      <c r="K18">
        <v>18</v>
      </c>
      <c r="L18">
        <v>1</v>
      </c>
    </row>
    <row r="19" spans="1:12">
      <c r="A19" t="s">
        <v>32</v>
      </c>
      <c r="B19">
        <v>7</v>
      </c>
      <c r="C19">
        <v>17449</v>
      </c>
      <c r="D19">
        <v>19463</v>
      </c>
      <c r="E19" s="9">
        <f>IF(C19&gt;0,D19/C19-1,0)</f>
        <v>0.11542208722562908</v>
      </c>
      <c r="F19">
        <v>222</v>
      </c>
      <c r="G19">
        <v>270</v>
      </c>
      <c r="H19" s="9">
        <f>IF(F19&gt;0,G19/F19-1,0)</f>
        <v>0.21621621621621623</v>
      </c>
      <c r="I19">
        <v>2500</v>
      </c>
      <c r="J19">
        <v>2</v>
      </c>
      <c r="K19">
        <v>26</v>
      </c>
      <c r="L19">
        <v>7</v>
      </c>
    </row>
    <row r="20" spans="1:12">
      <c r="A20" t="s">
        <v>32</v>
      </c>
      <c r="B20">
        <v>30</v>
      </c>
      <c r="C20">
        <v>68971</v>
      </c>
      <c r="D20">
        <v>80837</v>
      </c>
      <c r="E20" s="9">
        <f>IF(C20&gt;0,D20/C20-1,0)</f>
        <v>0.17204332255585686</v>
      </c>
      <c r="F20">
        <v>612</v>
      </c>
      <c r="G20">
        <v>720</v>
      </c>
      <c r="H20" s="9">
        <f>IF(F20&gt;0,G20/F20-1,0)</f>
        <v>0.17647058823529416</v>
      </c>
      <c r="I20">
        <v>5900</v>
      </c>
      <c r="J20">
        <v>4</v>
      </c>
      <c r="K20">
        <v>44</v>
      </c>
      <c r="L20">
        <v>30</v>
      </c>
    </row>
    <row r="21" spans="1:12">
      <c r="A21" t="s">
        <v>32</v>
      </c>
      <c r="B21">
        <v>90</v>
      </c>
      <c r="C21">
        <v>205158</v>
      </c>
      <c r="D21">
        <v>250040</v>
      </c>
      <c r="E21" s="9">
        <f>IF(C21&gt;0,D21/C21-1,0)</f>
        <v>0.2187679739517836</v>
      </c>
      <c r="F21">
        <v>1391</v>
      </c>
      <c r="G21">
        <v>1677</v>
      </c>
      <c r="H21" s="9">
        <f>IF(F21&gt;0,G21/F21-1,0)</f>
        <v>0.20560747663551404</v>
      </c>
      <c r="I21">
        <v>5900</v>
      </c>
      <c r="J21">
        <v>5</v>
      </c>
      <c r="K21">
        <v>50</v>
      </c>
      <c r="L21">
        <v>90</v>
      </c>
    </row>
    <row r="23" spans="1:12">
      <c r="A23" s="3" t="s">
        <v>560</v>
      </c>
      <c r="B23" s="3"/>
      <c r="C23" s="3"/>
      <c r="D23" s="3"/>
      <c r="E23" s="3"/>
      <c r="F23" s="3"/>
      <c r="G23" s="3"/>
      <c r="H23" s="3"/>
      <c r="I23" s="3"/>
      <c r="J23" s="3"/>
      <c r="K23" s="3"/>
      <c r="L23" s="3"/>
    </row>
    <row r="24" spans="1:12">
      <c r="A24" s="3"/>
      <c r="B24" s="3"/>
      <c r="C24" s="3"/>
      <c r="D24" s="3"/>
      <c r="E24" s="3"/>
      <c r="F24" s="3"/>
      <c r="G24" s="3"/>
      <c r="H24" s="3"/>
      <c r="I24" s="3"/>
      <c r="J24" s="3"/>
      <c r="K24" s="3"/>
      <c r="L24" s="3"/>
    </row>
    <row r="25" spans="1:12">
      <c r="A25" s="3"/>
      <c r="B25" s="3"/>
      <c r="C25" s="3"/>
      <c r="D25" s="3"/>
      <c r="E25" s="3"/>
      <c r="F25" s="3"/>
      <c r="G25" s="3"/>
      <c r="H25" s="3"/>
      <c r="I25" s="3"/>
      <c r="J25" s="3"/>
      <c r="K25" s="3"/>
      <c r="L25" s="3"/>
    </row>
    <row r="26" spans="1:12">
      <c r="A26" s="3"/>
      <c r="B26" s="3"/>
      <c r="C26" s="3"/>
      <c r="D26" s="3"/>
      <c r="E26" s="3"/>
      <c r="F26" s="3"/>
      <c r="G26" s="3"/>
      <c r="H26" s="3"/>
      <c r="I26" s="3"/>
      <c r="J26" s="3"/>
      <c r="K26" s="3"/>
      <c r="L26" s="3"/>
    </row>
  </sheetData>
  <autoFilter ref="A1:L21"/>
  <mergeCells count="1">
    <mergeCell ref="A23:L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H6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0.7109375" customWidth="1"/>
    <col min="2" max="2" width="16.7109375" customWidth="1"/>
    <col min="3" max="3" width="15.7109375" customWidth="1"/>
    <col min="4" max="4" width="17.7109375" customWidth="1"/>
    <col min="5" max="5" width="22.7109375" customWidth="1"/>
    <col min="6" max="7" width="24.7109375" customWidth="1"/>
    <col min="8" max="8" width="36.7109375" customWidth="1"/>
  </cols>
  <sheetData>
    <row r="1" spans="1:8" ht="32" customHeight="1">
      <c r="A1" s="4" t="s">
        <v>561</v>
      </c>
      <c r="B1" s="4" t="s">
        <v>562</v>
      </c>
      <c r="C1" s="4" t="s">
        <v>563</v>
      </c>
      <c r="D1" s="4" t="s">
        <v>564</v>
      </c>
      <c r="E1" s="4" t="s">
        <v>565</v>
      </c>
      <c r="F1" s="4" t="s">
        <v>566</v>
      </c>
      <c r="G1" s="4" t="s">
        <v>567</v>
      </c>
      <c r="H1" s="4" t="s">
        <v>568</v>
      </c>
    </row>
    <row r="2" spans="1:8">
      <c r="A2" t="s">
        <v>569</v>
      </c>
      <c r="B2">
        <v>100</v>
      </c>
      <c r="C2">
        <v>0</v>
      </c>
      <c r="D2">
        <v>0</v>
      </c>
      <c r="E2">
        <v>0</v>
      </c>
      <c r="F2">
        <v>0</v>
      </c>
      <c r="H2">
        <v>0</v>
      </c>
    </row>
    <row r="3" spans="1:8">
      <c r="A3" t="s">
        <v>570</v>
      </c>
      <c r="B3">
        <v>150</v>
      </c>
      <c r="C3">
        <v>0</v>
      </c>
      <c r="D3">
        <v>0</v>
      </c>
      <c r="E3">
        <v>0</v>
      </c>
      <c r="F3">
        <v>1</v>
      </c>
      <c r="G3" t="s">
        <v>571</v>
      </c>
      <c r="H3">
        <v>450</v>
      </c>
    </row>
    <row r="4" spans="1:8">
      <c r="A4" t="s">
        <v>572</v>
      </c>
      <c r="B4">
        <v>200</v>
      </c>
      <c r="C4">
        <v>5</v>
      </c>
      <c r="D4">
        <v>0</v>
      </c>
      <c r="E4">
        <v>15</v>
      </c>
      <c r="F4">
        <v>0</v>
      </c>
      <c r="H4">
        <v>0</v>
      </c>
    </row>
    <row r="5" spans="1:8">
      <c r="A5" t="s">
        <v>573</v>
      </c>
      <c r="B5">
        <v>250</v>
      </c>
      <c r="C5">
        <v>0</v>
      </c>
      <c r="D5">
        <v>0</v>
      </c>
      <c r="E5">
        <v>0</v>
      </c>
      <c r="F5">
        <v>1</v>
      </c>
      <c r="H5">
        <v>0</v>
      </c>
    </row>
    <row r="6" spans="1:8">
      <c r="A6" t="s">
        <v>574</v>
      </c>
      <c r="B6">
        <v>300</v>
      </c>
      <c r="C6">
        <v>0</v>
      </c>
      <c r="D6">
        <v>1</v>
      </c>
      <c r="E6">
        <v>0</v>
      </c>
      <c r="F6">
        <v>0</v>
      </c>
      <c r="G6" t="s">
        <v>575</v>
      </c>
      <c r="H6">
        <v>700</v>
      </c>
    </row>
    <row r="7" spans="1:8">
      <c r="A7" t="s">
        <v>576</v>
      </c>
      <c r="B7">
        <v>350</v>
      </c>
      <c r="C7">
        <v>0</v>
      </c>
      <c r="D7">
        <v>0</v>
      </c>
      <c r="E7">
        <v>5</v>
      </c>
      <c r="F7">
        <v>0</v>
      </c>
      <c r="H7">
        <v>0</v>
      </c>
    </row>
    <row r="8" spans="1:8">
      <c r="A8" t="s">
        <v>577</v>
      </c>
      <c r="B8">
        <v>400</v>
      </c>
      <c r="C8">
        <v>20</v>
      </c>
      <c r="D8">
        <v>0</v>
      </c>
      <c r="E8">
        <v>0</v>
      </c>
      <c r="F8">
        <v>0</v>
      </c>
      <c r="G8" t="s">
        <v>578</v>
      </c>
      <c r="H8">
        <v>750</v>
      </c>
    </row>
    <row r="9" spans="1:8">
      <c r="A9" s="4" t="s">
        <v>579</v>
      </c>
      <c r="B9" s="7">
        <f>SUM(B2:B8)</f>
        <v>0</v>
      </c>
      <c r="C9" s="7">
        <f>SUM(C2:C8)</f>
        <v>0</v>
      </c>
      <c r="D9" s="7">
        <f>SUM(D2:D8)</f>
        <v>0</v>
      </c>
      <c r="E9" s="7">
        <f>SUM(E2:E8)</f>
        <v>0</v>
      </c>
      <c r="F9" s="7">
        <f>SUM(F2:F8)</f>
        <v>0</v>
      </c>
      <c r="H9" s="7">
        <f>SUM(H2:H8)</f>
        <v>0</v>
      </c>
    </row>
    <row r="12" spans="1:8">
      <c r="A12" s="4" t="s">
        <v>559</v>
      </c>
      <c r="B12" s="4" t="s">
        <v>38</v>
      </c>
      <c r="C12" s="4" t="s">
        <v>54</v>
      </c>
      <c r="D12" s="4" t="s">
        <v>580</v>
      </c>
      <c r="E12" s="4" t="s">
        <v>581</v>
      </c>
    </row>
    <row r="13" spans="1:8">
      <c r="A13" t="s">
        <v>569</v>
      </c>
      <c r="B13">
        <v>20</v>
      </c>
      <c r="C13">
        <v>0</v>
      </c>
      <c r="E13">
        <v>0</v>
      </c>
    </row>
    <row r="14" spans="1:8">
      <c r="A14" t="s">
        <v>570</v>
      </c>
      <c r="B14">
        <v>30</v>
      </c>
      <c r="C14">
        <v>0</v>
      </c>
      <c r="E14">
        <v>0</v>
      </c>
    </row>
    <row r="15" spans="1:8">
      <c r="A15" t="s">
        <v>572</v>
      </c>
      <c r="B15">
        <v>40</v>
      </c>
      <c r="C15">
        <v>2</v>
      </c>
      <c r="E15">
        <v>0</v>
      </c>
    </row>
    <row r="16" spans="1:8">
      <c r="A16" t="s">
        <v>573</v>
      </c>
      <c r="B16">
        <v>50</v>
      </c>
      <c r="C16">
        <v>0</v>
      </c>
      <c r="E16">
        <v>0</v>
      </c>
    </row>
    <row r="17" spans="1:5">
      <c r="A17" t="s">
        <v>574</v>
      </c>
      <c r="B17">
        <v>60</v>
      </c>
      <c r="C17">
        <v>3</v>
      </c>
      <c r="E17">
        <v>0</v>
      </c>
    </row>
    <row r="18" spans="1:5">
      <c r="A18" t="s">
        <v>576</v>
      </c>
      <c r="B18">
        <v>70</v>
      </c>
      <c r="C18">
        <v>0</v>
      </c>
      <c r="E18">
        <v>0</v>
      </c>
    </row>
    <row r="19" spans="1:5">
      <c r="A19" t="s">
        <v>577</v>
      </c>
      <c r="B19">
        <v>80</v>
      </c>
      <c r="C19">
        <v>5</v>
      </c>
      <c r="D19" t="s">
        <v>582</v>
      </c>
      <c r="E19">
        <v>600</v>
      </c>
    </row>
    <row r="20" spans="1:5">
      <c r="A20" t="s">
        <v>583</v>
      </c>
      <c r="B20">
        <v>80</v>
      </c>
      <c r="C20">
        <v>5</v>
      </c>
      <c r="D20" t="s">
        <v>584</v>
      </c>
      <c r="E20">
        <v>1400</v>
      </c>
    </row>
    <row r="21" spans="1:5">
      <c r="A21" t="s">
        <v>585</v>
      </c>
      <c r="B21">
        <v>80</v>
      </c>
      <c r="C21">
        <v>0</v>
      </c>
      <c r="D21" t="s">
        <v>586</v>
      </c>
      <c r="E21">
        <v>2000</v>
      </c>
    </row>
    <row r="22" spans="1:5">
      <c r="A22" s="3" t="s">
        <v>587</v>
      </c>
    </row>
    <row r="25" spans="1:5">
      <c r="A25" s="4" t="s">
        <v>588</v>
      </c>
      <c r="B25" s="4" t="s">
        <v>589</v>
      </c>
    </row>
    <row r="26" spans="1:5">
      <c r="A26" t="s">
        <v>590</v>
      </c>
      <c r="B26">
        <v>100</v>
      </c>
    </row>
    <row r="27" spans="1:5">
      <c r="A27" t="s">
        <v>591</v>
      </c>
      <c r="B27">
        <v>3</v>
      </c>
    </row>
    <row r="28" spans="1:5">
      <c r="A28" t="s">
        <v>592</v>
      </c>
      <c r="B28">
        <v>26</v>
      </c>
    </row>
    <row r="29" spans="1:5">
      <c r="A29" t="s">
        <v>593</v>
      </c>
      <c r="B29">
        <v>1260</v>
      </c>
    </row>
    <row r="30" spans="1:5">
      <c r="A30" t="s">
        <v>594</v>
      </c>
      <c r="B30">
        <v>123</v>
      </c>
    </row>
    <row r="31" spans="1:5">
      <c r="A31" t="s">
        <v>595</v>
      </c>
      <c r="B31">
        <v>102</v>
      </c>
    </row>
    <row r="32" spans="1:5">
      <c r="A32" t="s">
        <v>596</v>
      </c>
      <c r="B32">
        <v>144</v>
      </c>
    </row>
    <row r="33" spans="1:5">
      <c r="A33" t="s">
        <v>597</v>
      </c>
      <c r="B33" t="s">
        <v>598</v>
      </c>
    </row>
    <row r="36" spans="1:5">
      <c r="A36" s="4" t="s">
        <v>19</v>
      </c>
      <c r="B36" s="4" t="s">
        <v>34</v>
      </c>
      <c r="C36" s="4" t="s">
        <v>35</v>
      </c>
      <c r="D36" s="4" t="s">
        <v>599</v>
      </c>
      <c r="E36" s="4" t="s">
        <v>600</v>
      </c>
    </row>
    <row r="37" spans="1:5">
      <c r="A37" t="s">
        <v>28</v>
      </c>
      <c r="B37" t="s">
        <v>38</v>
      </c>
      <c r="C37" t="s">
        <v>51</v>
      </c>
      <c r="D37">
        <v>910</v>
      </c>
      <c r="E37" s="9">
        <v>0.01859001859001859</v>
      </c>
    </row>
    <row r="38" spans="1:5">
      <c r="A38" t="s">
        <v>28</v>
      </c>
      <c r="B38" t="s">
        <v>38</v>
      </c>
      <c r="C38" t="s">
        <v>52</v>
      </c>
      <c r="D38">
        <v>1300</v>
      </c>
      <c r="E38" s="9">
        <v>0.02655716941431227</v>
      </c>
    </row>
    <row r="39" spans="1:5">
      <c r="A39" t="s">
        <v>28</v>
      </c>
      <c r="B39" t="s">
        <v>38</v>
      </c>
      <c r="C39" t="s">
        <v>53</v>
      </c>
      <c r="D39">
        <v>8352</v>
      </c>
      <c r="E39" s="9">
        <v>0.1706195991910278</v>
      </c>
    </row>
    <row r="40" spans="1:5">
      <c r="A40" t="s">
        <v>28</v>
      </c>
      <c r="B40" t="s">
        <v>54</v>
      </c>
      <c r="C40" t="s">
        <v>59</v>
      </c>
      <c r="D40">
        <v>20</v>
      </c>
      <c r="E40" s="9">
        <v>0.03795066413662239</v>
      </c>
    </row>
    <row r="41" spans="1:5">
      <c r="A41" t="s">
        <v>28</v>
      </c>
      <c r="B41" t="s">
        <v>54</v>
      </c>
      <c r="C41" t="s">
        <v>51</v>
      </c>
      <c r="D41">
        <v>0</v>
      </c>
      <c r="E41" s="9">
        <v>0</v>
      </c>
    </row>
    <row r="42" spans="1:5">
      <c r="A42" t="s">
        <v>28</v>
      </c>
      <c r="B42" t="s">
        <v>54</v>
      </c>
      <c r="C42" t="s">
        <v>52</v>
      </c>
      <c r="D42">
        <v>39</v>
      </c>
      <c r="E42" s="9">
        <v>0.07400379506641366</v>
      </c>
    </row>
    <row r="43" spans="1:5">
      <c r="A43" t="s">
        <v>29</v>
      </c>
      <c r="B43" t="s">
        <v>38</v>
      </c>
      <c r="C43" t="s">
        <v>51</v>
      </c>
      <c r="D43">
        <v>1390</v>
      </c>
      <c r="E43" s="9">
        <v>0.01523387839200386</v>
      </c>
    </row>
    <row r="44" spans="1:5">
      <c r="A44" t="s">
        <v>29</v>
      </c>
      <c r="B44" t="s">
        <v>38</v>
      </c>
      <c r="C44" t="s">
        <v>52</v>
      </c>
      <c r="D44">
        <v>2900</v>
      </c>
      <c r="E44" s="9">
        <v>0.03178291175310157</v>
      </c>
    </row>
    <row r="45" spans="1:5">
      <c r="A45" t="s">
        <v>29</v>
      </c>
      <c r="B45" t="s">
        <v>38</v>
      </c>
      <c r="C45" t="s">
        <v>53</v>
      </c>
      <c r="D45">
        <v>13464</v>
      </c>
      <c r="E45" s="9">
        <v>0.1475603875323309</v>
      </c>
    </row>
    <row r="46" spans="1:5">
      <c r="A46" t="s">
        <v>29</v>
      </c>
      <c r="B46" t="s">
        <v>54</v>
      </c>
      <c r="C46" t="s">
        <v>59</v>
      </c>
      <c r="D46">
        <v>20</v>
      </c>
      <c r="E46" s="9">
        <v>0.02252252252252252</v>
      </c>
    </row>
    <row r="47" spans="1:5">
      <c r="A47" t="s">
        <v>29</v>
      </c>
      <c r="B47" t="s">
        <v>54</v>
      </c>
      <c r="C47" t="s">
        <v>51</v>
      </c>
      <c r="D47">
        <v>24</v>
      </c>
      <c r="E47" s="9">
        <v>0.02702702702702703</v>
      </c>
    </row>
    <row r="48" spans="1:5">
      <c r="A48" t="s">
        <v>29</v>
      </c>
      <c r="B48" t="s">
        <v>54</v>
      </c>
      <c r="C48" t="s">
        <v>52</v>
      </c>
      <c r="D48">
        <v>87</v>
      </c>
      <c r="E48" s="9">
        <v>0.09797297297297297</v>
      </c>
    </row>
    <row r="49" spans="1:5">
      <c r="A49" t="s">
        <v>30</v>
      </c>
      <c r="B49" t="s">
        <v>38</v>
      </c>
      <c r="C49" t="s">
        <v>51</v>
      </c>
      <c r="D49">
        <v>6990</v>
      </c>
      <c r="E49" s="9">
        <v>0.03243228195206147</v>
      </c>
    </row>
    <row r="50" spans="1:5">
      <c r="A50" t="s">
        <v>30</v>
      </c>
      <c r="B50" t="s">
        <v>38</v>
      </c>
      <c r="C50" t="s">
        <v>52</v>
      </c>
      <c r="D50">
        <v>6700</v>
      </c>
      <c r="E50" s="9">
        <v>0.03108673663502315</v>
      </c>
    </row>
    <row r="51" spans="1:5">
      <c r="A51" t="s">
        <v>30</v>
      </c>
      <c r="B51" t="s">
        <v>38</v>
      </c>
      <c r="C51" t="s">
        <v>53</v>
      </c>
      <c r="D51">
        <v>30456</v>
      </c>
      <c r="E51" s="9">
        <v>0.1413100971576515</v>
      </c>
    </row>
    <row r="52" spans="1:5">
      <c r="A52" t="s">
        <v>30</v>
      </c>
      <c r="B52" t="s">
        <v>54</v>
      </c>
      <c r="C52" t="s">
        <v>59</v>
      </c>
      <c r="D52">
        <v>20</v>
      </c>
      <c r="E52" s="9">
        <v>0.01192605843768635</v>
      </c>
    </row>
    <row r="53" spans="1:5">
      <c r="A53" t="s">
        <v>30</v>
      </c>
      <c r="B53" t="s">
        <v>54</v>
      </c>
      <c r="C53" t="s">
        <v>51</v>
      </c>
      <c r="D53">
        <v>65</v>
      </c>
      <c r="E53" s="9">
        <v>0.03875968992248062</v>
      </c>
    </row>
    <row r="54" spans="1:5">
      <c r="A54" t="s">
        <v>30</v>
      </c>
      <c r="B54" t="s">
        <v>54</v>
      </c>
      <c r="C54" t="s">
        <v>52</v>
      </c>
      <c r="D54">
        <v>201</v>
      </c>
      <c r="E54" s="9">
        <v>0.1198568872987478</v>
      </c>
    </row>
    <row r="55" spans="1:5">
      <c r="A55" t="s">
        <v>31</v>
      </c>
      <c r="B55" t="s">
        <v>38</v>
      </c>
      <c r="C55" t="s">
        <v>51</v>
      </c>
      <c r="D55">
        <v>6990</v>
      </c>
      <c r="E55" s="9">
        <v>0.01846709871047341</v>
      </c>
    </row>
    <row r="56" spans="1:5">
      <c r="A56" t="s">
        <v>31</v>
      </c>
      <c r="B56" t="s">
        <v>38</v>
      </c>
      <c r="C56" t="s">
        <v>52</v>
      </c>
      <c r="D56">
        <v>8400</v>
      </c>
      <c r="E56" s="9">
        <v>0.02219222162631997</v>
      </c>
    </row>
    <row r="57" spans="1:5">
      <c r="A57" t="s">
        <v>31</v>
      </c>
      <c r="B57" t="s">
        <v>38</v>
      </c>
      <c r="C57" t="s">
        <v>53</v>
      </c>
      <c r="D57">
        <v>65360</v>
      </c>
      <c r="E57" s="9">
        <v>0.1726766197019373</v>
      </c>
    </row>
    <row r="58" spans="1:5">
      <c r="A58" t="s">
        <v>31</v>
      </c>
      <c r="B58" t="s">
        <v>54</v>
      </c>
      <c r="C58" t="s">
        <v>59</v>
      </c>
      <c r="D58">
        <v>20</v>
      </c>
      <c r="E58" s="9">
        <v>0.009546539379474941</v>
      </c>
    </row>
    <row r="59" spans="1:5">
      <c r="A59" t="s">
        <v>31</v>
      </c>
      <c r="B59" t="s">
        <v>54</v>
      </c>
      <c r="C59" t="s">
        <v>51</v>
      </c>
      <c r="D59">
        <v>65</v>
      </c>
      <c r="E59" s="9">
        <v>0.03102625298329355</v>
      </c>
    </row>
    <row r="60" spans="1:5">
      <c r="A60" t="s">
        <v>31</v>
      </c>
      <c r="B60" t="s">
        <v>54</v>
      </c>
      <c r="C60" t="s">
        <v>52</v>
      </c>
      <c r="D60">
        <v>252</v>
      </c>
      <c r="E60" s="9">
        <v>0.1202863961813842</v>
      </c>
    </row>
    <row r="61" spans="1:5">
      <c r="A61" t="s">
        <v>32</v>
      </c>
      <c r="B61" t="s">
        <v>38</v>
      </c>
      <c r="C61" t="s">
        <v>51</v>
      </c>
      <c r="D61">
        <v>6990</v>
      </c>
      <c r="E61" s="9">
        <v>0.0279555271156615</v>
      </c>
    </row>
    <row r="62" spans="1:5">
      <c r="A62" t="s">
        <v>32</v>
      </c>
      <c r="B62" t="s">
        <v>38</v>
      </c>
      <c r="C62" t="s">
        <v>52</v>
      </c>
      <c r="D62">
        <v>6700</v>
      </c>
      <c r="E62" s="9">
        <v>0.02679571268597025</v>
      </c>
    </row>
    <row r="63" spans="1:5">
      <c r="A63" t="s">
        <v>32</v>
      </c>
      <c r="B63" t="s">
        <v>38</v>
      </c>
      <c r="C63" t="s">
        <v>53</v>
      </c>
      <c r="D63">
        <v>31192</v>
      </c>
      <c r="E63" s="9">
        <v>0.1247480403135498</v>
      </c>
    </row>
    <row r="64" spans="1:5">
      <c r="A64" t="s">
        <v>32</v>
      </c>
      <c r="B64" t="s">
        <v>54</v>
      </c>
      <c r="C64" t="s">
        <v>59</v>
      </c>
      <c r="D64">
        <v>20</v>
      </c>
      <c r="E64" s="9">
        <v>0.01192605843768635</v>
      </c>
    </row>
    <row r="65" spans="1:5">
      <c r="A65" t="s">
        <v>32</v>
      </c>
      <c r="B65" t="s">
        <v>54</v>
      </c>
      <c r="C65" t="s">
        <v>51</v>
      </c>
      <c r="D65">
        <v>65</v>
      </c>
      <c r="E65" s="9">
        <v>0.03875968992248062</v>
      </c>
    </row>
    <row r="66" spans="1:5">
      <c r="A66" t="s">
        <v>32</v>
      </c>
      <c r="B66" t="s">
        <v>54</v>
      </c>
      <c r="C66" t="s">
        <v>52</v>
      </c>
      <c r="D66">
        <v>201</v>
      </c>
      <c r="E66" s="9">
        <v>0.1198568872987478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G5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7109375" customWidth="1"/>
    <col min="2" max="2" width="28.7109375" customWidth="1"/>
    <col min="3" max="4" width="24.7109375" customWidth="1"/>
    <col min="5" max="5" width="16.7109375" customWidth="1"/>
    <col min="6" max="6" width="18.7109375" customWidth="1"/>
    <col min="7" max="7" width="30.7109375" customWidth="1"/>
  </cols>
  <sheetData>
    <row r="1" spans="1:7" ht="32" customHeight="1">
      <c r="A1" s="4" t="s">
        <v>557</v>
      </c>
      <c r="B1" s="4" t="s">
        <v>601</v>
      </c>
      <c r="C1" s="4" t="s">
        <v>602</v>
      </c>
      <c r="D1" s="4" t="s">
        <v>603</v>
      </c>
      <c r="E1" s="4" t="s">
        <v>604</v>
      </c>
      <c r="F1" s="4" t="s">
        <v>605</v>
      </c>
      <c r="G1" s="4" t="s">
        <v>606</v>
      </c>
    </row>
    <row r="2" spans="1:7">
      <c r="A2" t="s">
        <v>607</v>
      </c>
      <c r="B2" s="5">
        <v>16</v>
      </c>
      <c r="C2" s="5">
        <v>0</v>
      </c>
      <c r="D2" s="6">
        <v>0</v>
      </c>
      <c r="E2" s="6">
        <v>0</v>
      </c>
      <c r="F2" s="7">
        <f>ROUND((B2+C2)*(1+D2+E2),0)</f>
        <v>16</v>
      </c>
      <c r="G2" s="7">
        <f>F2*$B$10</f>
        <v>128</v>
      </c>
    </row>
    <row r="3" spans="1:7">
      <c r="A3" t="s">
        <v>608</v>
      </c>
      <c r="B3" s="5">
        <v>19</v>
      </c>
      <c r="C3" s="5">
        <v>0</v>
      </c>
      <c r="D3" s="6">
        <v>0</v>
      </c>
      <c r="E3" s="6">
        <v>0</v>
      </c>
      <c r="F3" s="7">
        <f>ROUND((B3+C3)*(1+D3+E3),0)</f>
        <v>19</v>
      </c>
      <c r="G3" s="7">
        <f>F3*$B$10</f>
        <v>152</v>
      </c>
    </row>
    <row r="4" spans="1:7">
      <c r="A4" t="s">
        <v>609</v>
      </c>
      <c r="B4" s="5">
        <v>22</v>
      </c>
      <c r="C4" s="5">
        <v>0</v>
      </c>
      <c r="D4" s="6">
        <v>0</v>
      </c>
      <c r="E4" s="6">
        <v>0</v>
      </c>
      <c r="F4" s="7">
        <f>ROUND((B4+C4)*(1+D4+E4),0)</f>
        <v>22</v>
      </c>
      <c r="G4" s="7">
        <f>F4*$B$10</f>
        <v>176</v>
      </c>
    </row>
    <row r="5" spans="1:7">
      <c r="A5" t="s">
        <v>610</v>
      </c>
      <c r="B5" s="5">
        <v>25</v>
      </c>
      <c r="C5" s="5">
        <v>0</v>
      </c>
      <c r="D5" s="6">
        <v>0</v>
      </c>
      <c r="E5" s="6">
        <v>0</v>
      </c>
      <c r="F5" s="7">
        <f>ROUND((B5+C5)*(1+D5+E5),0)</f>
        <v>25</v>
      </c>
      <c r="G5" s="7">
        <f>F5*$B$10</f>
        <v>200</v>
      </c>
    </row>
    <row r="6" spans="1:7">
      <c r="A6" t="s">
        <v>611</v>
      </c>
      <c r="B6" s="5">
        <v>28</v>
      </c>
      <c r="C6" s="5">
        <v>0</v>
      </c>
      <c r="D6" s="6">
        <v>0</v>
      </c>
      <c r="E6" s="6">
        <v>0</v>
      </c>
      <c r="F6" s="7">
        <f>ROUND((B6+C6)*(1+D6+E6),0)</f>
        <v>28</v>
      </c>
      <c r="G6" s="7">
        <f>F6*$B$10</f>
        <v>224</v>
      </c>
    </row>
    <row r="7" spans="1:7">
      <c r="A7" t="s">
        <v>612</v>
      </c>
      <c r="B7" s="5">
        <v>32</v>
      </c>
      <c r="C7" s="5">
        <v>0</v>
      </c>
      <c r="D7" s="6">
        <v>0</v>
      </c>
      <c r="E7" s="6">
        <v>0</v>
      </c>
      <c r="F7" s="7">
        <f>ROUND((B7+C7)*(1+D7+E7),0)</f>
        <v>32</v>
      </c>
      <c r="G7" s="7">
        <f>F7*$B$10</f>
        <v>256</v>
      </c>
    </row>
    <row r="8" spans="1:7">
      <c r="A8" t="s">
        <v>613</v>
      </c>
      <c r="B8" s="5">
        <v>32</v>
      </c>
      <c r="C8" s="5">
        <v>5</v>
      </c>
      <c r="D8" s="6">
        <v>0.3</v>
      </c>
      <c r="E8" s="6">
        <v>0.1</v>
      </c>
      <c r="F8" s="7">
        <f>ROUND((B8+C8)*(1+D8+E8),0)</f>
        <v>52</v>
      </c>
      <c r="G8" s="7">
        <f>F8*$B$10</f>
        <v>416</v>
      </c>
    </row>
    <row r="10" spans="1:7">
      <c r="A10" t="s">
        <v>614</v>
      </c>
      <c r="B10" s="5">
        <v>8</v>
      </c>
    </row>
    <row r="11" spans="1:7">
      <c r="A11" t="s">
        <v>615</v>
      </c>
      <c r="B11" s="6">
        <v>0.4</v>
      </c>
    </row>
    <row r="12" spans="1:7">
      <c r="A12" s="3" t="s">
        <v>616</v>
      </c>
      <c r="B12" s="3"/>
      <c r="C12" s="3"/>
      <c r="D12" s="3"/>
      <c r="E12" s="3"/>
      <c r="F12" s="3"/>
      <c r="G12" s="3"/>
    </row>
    <row r="13" spans="1:7">
      <c r="A13" s="3"/>
      <c r="B13" s="3"/>
      <c r="C13" s="3"/>
      <c r="D13" s="3"/>
      <c r="E13" s="3"/>
      <c r="F13" s="3"/>
      <c r="G13" s="3"/>
    </row>
    <row r="14" spans="1:7">
      <c r="A14" s="3"/>
      <c r="B14" s="3"/>
      <c r="C14" s="3"/>
      <c r="D14" s="3"/>
      <c r="E14" s="3"/>
      <c r="F14" s="3"/>
      <c r="G14" s="3"/>
    </row>
    <row r="16" spans="1:7">
      <c r="A16" s="4" t="s">
        <v>19</v>
      </c>
      <c r="B16" s="4" t="s">
        <v>617</v>
      </c>
      <c r="C16" s="4" t="s">
        <v>618</v>
      </c>
      <c r="D16" s="4" t="s">
        <v>619</v>
      </c>
      <c r="E16" s="4" t="s">
        <v>620</v>
      </c>
      <c r="F16" s="4" t="s">
        <v>621</v>
      </c>
      <c r="G16" s="4" t="s">
        <v>622</v>
      </c>
    </row>
    <row r="17" spans="1:7">
      <c r="A17" t="s">
        <v>28</v>
      </c>
      <c r="B17" t="s">
        <v>623</v>
      </c>
      <c r="C17">
        <v>37</v>
      </c>
      <c r="D17">
        <v>426</v>
      </c>
      <c r="E17" s="9">
        <f>IF(D17&gt;0,C17/D17,0)</f>
        <v>0.08576214405360133</v>
      </c>
      <c r="F17">
        <v>21</v>
      </c>
      <c r="G17">
        <v>168</v>
      </c>
    </row>
    <row r="18" spans="1:7">
      <c r="A18" t="s">
        <v>28</v>
      </c>
      <c r="B18" t="s">
        <v>624</v>
      </c>
      <c r="C18">
        <v>81</v>
      </c>
      <c r="D18">
        <v>415</v>
      </c>
      <c r="E18" s="9">
        <f>IF(D18&gt;0,C18/D18,0)</f>
        <v>0.19465128474043003</v>
      </c>
      <c r="F18">
        <v>26</v>
      </c>
      <c r="G18">
        <v>208</v>
      </c>
    </row>
    <row r="19" spans="1:7">
      <c r="A19" t="s">
        <v>28</v>
      </c>
      <c r="B19" t="s">
        <v>625</v>
      </c>
      <c r="C19">
        <v>104</v>
      </c>
      <c r="D19">
        <v>460</v>
      </c>
      <c r="E19" s="9">
        <f>IF(D19&gt;0,C19/D19,0)</f>
        <v>0.2262591101925378</v>
      </c>
      <c r="F19">
        <v>36</v>
      </c>
      <c r="G19">
        <v>288</v>
      </c>
    </row>
    <row r="20" spans="1:7">
      <c r="A20" t="s">
        <v>29</v>
      </c>
      <c r="B20" t="s">
        <v>623</v>
      </c>
      <c r="C20">
        <v>59</v>
      </c>
      <c r="D20">
        <v>638</v>
      </c>
      <c r="E20" s="9">
        <f>IF(D20&gt;0,C20/D20,0)</f>
        <v>0.09308570149921683</v>
      </c>
      <c r="F20">
        <v>21</v>
      </c>
      <c r="G20">
        <v>168</v>
      </c>
    </row>
    <row r="21" spans="1:7">
      <c r="A21" t="s">
        <v>29</v>
      </c>
      <c r="B21" t="s">
        <v>624</v>
      </c>
      <c r="C21">
        <v>112</v>
      </c>
      <c r="D21">
        <v>952</v>
      </c>
      <c r="E21" s="9">
        <f>IF(D21&gt;0,C21/D21,0)</f>
        <v>0.11730848293819378</v>
      </c>
      <c r="F21">
        <v>27</v>
      </c>
      <c r="G21">
        <v>216</v>
      </c>
    </row>
    <row r="22" spans="1:7">
      <c r="A22" t="s">
        <v>29</v>
      </c>
      <c r="B22" t="s">
        <v>625</v>
      </c>
      <c r="C22">
        <v>175</v>
      </c>
      <c r="D22">
        <v>849</v>
      </c>
      <c r="E22" s="9">
        <f>IF(D22&gt;0,C22/D22,0)</f>
        <v>0.20581304006284365</v>
      </c>
      <c r="F22">
        <v>44</v>
      </c>
      <c r="G22">
        <v>352</v>
      </c>
    </row>
    <row r="23" spans="1:7">
      <c r="A23" t="s">
        <v>30</v>
      </c>
      <c r="B23" t="s">
        <v>623</v>
      </c>
      <c r="C23">
        <v>146</v>
      </c>
      <c r="D23">
        <v>2128</v>
      </c>
      <c r="E23" s="9">
        <f>IF(D23&gt;0,C23/D23,0)</f>
        <v>0.06873867221588238</v>
      </c>
      <c r="F23">
        <v>26</v>
      </c>
      <c r="G23">
        <v>208</v>
      </c>
    </row>
    <row r="24" spans="1:7">
      <c r="A24" t="s">
        <v>30</v>
      </c>
      <c r="B24" t="s">
        <v>624</v>
      </c>
      <c r="C24">
        <v>272</v>
      </c>
      <c r="D24">
        <v>2007</v>
      </c>
      <c r="E24" s="9">
        <f>IF(D24&gt;0,C24/D24,0)</f>
        <v>0.13572542901716067</v>
      </c>
      <c r="F24">
        <v>40</v>
      </c>
      <c r="G24">
        <v>320</v>
      </c>
    </row>
    <row r="25" spans="1:7">
      <c r="A25" t="s">
        <v>30</v>
      </c>
      <c r="B25" t="s">
        <v>625</v>
      </c>
      <c r="C25">
        <v>386</v>
      </c>
      <c r="D25">
        <v>2059</v>
      </c>
      <c r="E25" s="9">
        <f>IF(D25&gt;0,C25/D25,0)</f>
        <v>0.1875632483545308</v>
      </c>
      <c r="F25">
        <v>50</v>
      </c>
      <c r="G25">
        <v>400</v>
      </c>
    </row>
    <row r="26" spans="1:7">
      <c r="A26" t="s">
        <v>31</v>
      </c>
      <c r="B26" t="s">
        <v>623</v>
      </c>
      <c r="C26">
        <v>299</v>
      </c>
      <c r="D26">
        <v>4340</v>
      </c>
      <c r="E26" s="9">
        <f>IF(D26&gt;0,C26/D26,0)</f>
        <v>0.06899275839368006</v>
      </c>
      <c r="F26">
        <v>22</v>
      </c>
      <c r="G26">
        <v>176</v>
      </c>
    </row>
    <row r="27" spans="1:7">
      <c r="A27" t="s">
        <v>31</v>
      </c>
      <c r="B27" t="s">
        <v>624</v>
      </c>
      <c r="C27">
        <v>664</v>
      </c>
      <c r="D27">
        <v>4426</v>
      </c>
      <c r="E27" s="9">
        <f>IF(D27&gt;0,C27/D27,0)</f>
        <v>0.14995284501729017</v>
      </c>
      <c r="F27">
        <v>50</v>
      </c>
      <c r="G27">
        <v>400</v>
      </c>
    </row>
    <row r="28" spans="1:7">
      <c r="A28" t="s">
        <v>31</v>
      </c>
      <c r="B28" t="s">
        <v>625</v>
      </c>
      <c r="C28">
        <v>800</v>
      </c>
      <c r="D28">
        <v>3008</v>
      </c>
      <c r="E28" s="9">
        <f>IF(D28&gt;0,C28/D28,0)</f>
        <v>0.2659589204284155</v>
      </c>
      <c r="F28">
        <v>50</v>
      </c>
      <c r="G28">
        <v>400</v>
      </c>
    </row>
    <row r="29" spans="1:7">
      <c r="A29" t="s">
        <v>32</v>
      </c>
      <c r="B29" t="s">
        <v>623</v>
      </c>
      <c r="C29">
        <v>152</v>
      </c>
      <c r="D29">
        <v>2557</v>
      </c>
      <c r="E29" s="9">
        <f>IF(D29&gt;0,C29/D29,0)</f>
        <v>0.05944466171294486</v>
      </c>
      <c r="F29">
        <v>26</v>
      </c>
      <c r="G29">
        <v>208</v>
      </c>
    </row>
    <row r="30" spans="1:7">
      <c r="A30" t="s">
        <v>32</v>
      </c>
      <c r="B30" t="s">
        <v>624</v>
      </c>
      <c r="C30">
        <v>283</v>
      </c>
      <c r="D30">
        <v>2385</v>
      </c>
      <c r="E30" s="9">
        <f>IF(D30&gt;0,C30/D30,0)</f>
        <v>0.1186978236301994</v>
      </c>
      <c r="F30">
        <v>44</v>
      </c>
      <c r="G30">
        <v>352</v>
      </c>
    </row>
    <row r="31" spans="1:7">
      <c r="A31" t="s">
        <v>32</v>
      </c>
      <c r="B31" t="s">
        <v>625</v>
      </c>
      <c r="C31">
        <v>394</v>
      </c>
      <c r="D31">
        <v>2426</v>
      </c>
      <c r="E31" s="9">
        <f>IF(D31&gt;0,C31/D31,0)</f>
        <v>0.1622122854375734</v>
      </c>
      <c r="F31">
        <v>50</v>
      </c>
      <c r="G31">
        <v>400</v>
      </c>
    </row>
    <row r="32" spans="1:7">
      <c r="A32" t="s">
        <v>626</v>
      </c>
      <c r="B32" t="s">
        <v>623</v>
      </c>
      <c r="C32">
        <v>59</v>
      </c>
      <c r="D32">
        <v>638</v>
      </c>
      <c r="E32" s="9">
        <f>IF(D32&gt;0,C32/D32,0)</f>
        <v>0.09308570149921683</v>
      </c>
      <c r="F32">
        <v>21</v>
      </c>
      <c r="G32">
        <v>168</v>
      </c>
    </row>
    <row r="33" spans="1:7">
      <c r="A33" t="s">
        <v>626</v>
      </c>
      <c r="B33" t="s">
        <v>624</v>
      </c>
      <c r="C33">
        <v>112</v>
      </c>
      <c r="D33">
        <v>952</v>
      </c>
      <c r="E33" s="9">
        <f>IF(D33&gt;0,C33/D33,0)</f>
        <v>0.11730848293819378</v>
      </c>
      <c r="F33">
        <v>27</v>
      </c>
      <c r="G33">
        <v>216</v>
      </c>
    </row>
    <row r="34" spans="1:7">
      <c r="A34" t="s">
        <v>626</v>
      </c>
      <c r="B34" t="s">
        <v>625</v>
      </c>
      <c r="C34">
        <v>175</v>
      </c>
      <c r="D34">
        <v>849</v>
      </c>
      <c r="E34" s="9">
        <f>IF(D34&gt;0,C34/D34,0)</f>
        <v>0.20581304006284365</v>
      </c>
      <c r="F34">
        <v>44</v>
      </c>
      <c r="G34">
        <v>352</v>
      </c>
    </row>
    <row r="35" spans="1:7">
      <c r="A35" t="s">
        <v>627</v>
      </c>
      <c r="B35" t="s">
        <v>623</v>
      </c>
      <c r="C35">
        <v>146</v>
      </c>
      <c r="D35">
        <v>2128</v>
      </c>
      <c r="E35" s="9">
        <f>IF(D35&gt;0,C35/D35,0)</f>
        <v>0.06873867221588238</v>
      </c>
      <c r="F35">
        <v>26</v>
      </c>
      <c r="G35">
        <v>208</v>
      </c>
    </row>
    <row r="36" spans="1:7">
      <c r="A36" t="s">
        <v>627</v>
      </c>
      <c r="B36" t="s">
        <v>624</v>
      </c>
      <c r="C36">
        <v>272</v>
      </c>
      <c r="D36">
        <v>2007</v>
      </c>
      <c r="E36" s="9">
        <f>IF(D36&gt;0,C36/D36,0)</f>
        <v>0.13572542901716067</v>
      </c>
      <c r="F36">
        <v>40</v>
      </c>
      <c r="G36">
        <v>320</v>
      </c>
    </row>
    <row r="37" spans="1:7">
      <c r="A37" t="s">
        <v>627</v>
      </c>
      <c r="B37" t="s">
        <v>625</v>
      </c>
      <c r="C37">
        <v>386</v>
      </c>
      <c r="D37">
        <v>2059</v>
      </c>
      <c r="E37" s="9">
        <f>IF(D37&gt;0,C37/D37,0)</f>
        <v>0.1875632483545308</v>
      </c>
      <c r="F37">
        <v>50</v>
      </c>
      <c r="G37">
        <v>400</v>
      </c>
    </row>
    <row r="38" spans="1:7">
      <c r="A38" t="s">
        <v>628</v>
      </c>
      <c r="B38" t="s">
        <v>623</v>
      </c>
      <c r="C38">
        <v>299</v>
      </c>
      <c r="D38">
        <v>4490</v>
      </c>
      <c r="E38" s="9">
        <f>IF(D38&gt;0,C38/D38,0)</f>
        <v>0.0666878778237353</v>
      </c>
      <c r="F38">
        <v>22</v>
      </c>
      <c r="G38">
        <v>176</v>
      </c>
    </row>
    <row r="39" spans="1:7">
      <c r="A39" t="s">
        <v>628</v>
      </c>
      <c r="B39" t="s">
        <v>624</v>
      </c>
      <c r="C39">
        <v>664</v>
      </c>
      <c r="D39">
        <v>4576</v>
      </c>
      <c r="E39" s="9">
        <f>IF(D39&gt;0,C39/D39,0)</f>
        <v>0.145037152467646</v>
      </c>
      <c r="F39">
        <v>50</v>
      </c>
      <c r="G39">
        <v>400</v>
      </c>
    </row>
    <row r="40" spans="1:7">
      <c r="A40" t="s">
        <v>628</v>
      </c>
      <c r="B40" t="s">
        <v>625</v>
      </c>
      <c r="C40">
        <v>800</v>
      </c>
      <c r="D40">
        <v>3158</v>
      </c>
      <c r="E40" s="9">
        <f>IF(D40&gt;0,C40/D40,0)</f>
        <v>0.25332622612532263</v>
      </c>
      <c r="F40">
        <v>50</v>
      </c>
      <c r="G40">
        <v>400</v>
      </c>
    </row>
    <row r="41" spans="1:7">
      <c r="A41" s="3" t="s">
        <v>629</v>
      </c>
    </row>
    <row r="44" spans="1:7">
      <c r="A44" s="4" t="s">
        <v>19</v>
      </c>
      <c r="B44" s="4" t="s">
        <v>630</v>
      </c>
      <c r="C44" s="4" t="s">
        <v>631</v>
      </c>
      <c r="D44" s="4" t="s">
        <v>632</v>
      </c>
      <c r="E44" s="4" t="s">
        <v>633</v>
      </c>
      <c r="F44" s="4" t="s">
        <v>634</v>
      </c>
      <c r="G44" s="4" t="s">
        <v>635</v>
      </c>
    </row>
    <row r="45" spans="1:7">
      <c r="A45" t="s">
        <v>28</v>
      </c>
      <c r="B45">
        <v>6</v>
      </c>
      <c r="C45">
        <v>15</v>
      </c>
      <c r="D45" t="s">
        <v>636</v>
      </c>
      <c r="E45" t="s">
        <v>636</v>
      </c>
      <c r="F45" t="s">
        <v>636</v>
      </c>
      <c r="G45" t="s">
        <v>637</v>
      </c>
    </row>
    <row r="46" spans="1:7">
      <c r="A46" t="s">
        <v>29</v>
      </c>
      <c r="B46">
        <v>7</v>
      </c>
      <c r="C46">
        <v>10</v>
      </c>
      <c r="D46">
        <v>50</v>
      </c>
      <c r="E46">
        <v>77</v>
      </c>
      <c r="F46" t="s">
        <v>636</v>
      </c>
      <c r="G46" t="s">
        <v>638</v>
      </c>
    </row>
    <row r="47" spans="1:7">
      <c r="A47" t="s">
        <v>30</v>
      </c>
      <c r="B47">
        <v>3</v>
      </c>
      <c r="C47">
        <v>5</v>
      </c>
      <c r="D47">
        <v>22</v>
      </c>
      <c r="E47">
        <v>35</v>
      </c>
      <c r="F47">
        <v>44</v>
      </c>
      <c r="G47" t="s">
        <v>639</v>
      </c>
    </row>
    <row r="48" spans="1:7">
      <c r="A48" t="s">
        <v>31</v>
      </c>
      <c r="B48">
        <v>2</v>
      </c>
      <c r="C48">
        <v>3</v>
      </c>
      <c r="D48">
        <v>11</v>
      </c>
      <c r="E48">
        <v>18</v>
      </c>
      <c r="F48">
        <v>22</v>
      </c>
      <c r="G48" t="s">
        <v>640</v>
      </c>
    </row>
    <row r="49" spans="1:7">
      <c r="A49" t="s">
        <v>32</v>
      </c>
      <c r="B49">
        <v>3</v>
      </c>
      <c r="C49">
        <v>4</v>
      </c>
      <c r="D49">
        <v>20</v>
      </c>
      <c r="E49">
        <v>29</v>
      </c>
      <c r="F49">
        <v>38</v>
      </c>
      <c r="G49" t="s">
        <v>641</v>
      </c>
    </row>
    <row r="50" spans="1:7">
      <c r="A50" t="s">
        <v>626</v>
      </c>
      <c r="B50">
        <v>7</v>
      </c>
      <c r="C50">
        <v>10</v>
      </c>
      <c r="D50">
        <v>50</v>
      </c>
      <c r="E50">
        <v>77</v>
      </c>
      <c r="F50">
        <v>101</v>
      </c>
      <c r="G50" t="s">
        <v>638</v>
      </c>
    </row>
    <row r="51" spans="1:7">
      <c r="A51" t="s">
        <v>627</v>
      </c>
      <c r="B51">
        <v>3</v>
      </c>
      <c r="C51">
        <v>5</v>
      </c>
      <c r="D51">
        <v>22</v>
      </c>
      <c r="E51">
        <v>35</v>
      </c>
      <c r="F51">
        <v>44</v>
      </c>
      <c r="G51" t="s">
        <v>639</v>
      </c>
    </row>
    <row r="52" spans="1:7">
      <c r="A52" t="s">
        <v>628</v>
      </c>
      <c r="B52">
        <v>2</v>
      </c>
      <c r="C52">
        <v>3</v>
      </c>
      <c r="D52">
        <v>11</v>
      </c>
      <c r="E52">
        <v>18</v>
      </c>
      <c r="F52">
        <v>22</v>
      </c>
      <c r="G52" t="s">
        <v>640</v>
      </c>
    </row>
  </sheetData>
  <mergeCells count="1">
    <mergeCell ref="A12:G14"/>
  </mergeCells>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J6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7109375" customWidth="1"/>
    <col min="2" max="4" width="22.7109375" customWidth="1"/>
    <col min="5" max="5" width="34.7109375" customWidth="1"/>
    <col min="6" max="9" width="22.7109375" customWidth="1"/>
    <col min="10" max="10" width="24.7109375" customWidth="1"/>
  </cols>
  <sheetData>
    <row r="1" spans="1:7" ht="32" customHeight="1">
      <c r="A1" s="4" t="s">
        <v>19</v>
      </c>
      <c r="B1" s="4" t="s">
        <v>20</v>
      </c>
      <c r="C1" s="4" t="s">
        <v>23</v>
      </c>
      <c r="D1" s="4" t="s">
        <v>24</v>
      </c>
      <c r="E1" s="4" t="s">
        <v>642</v>
      </c>
      <c r="F1" s="4" t="s">
        <v>557</v>
      </c>
      <c r="G1" s="4" t="s">
        <v>558</v>
      </c>
    </row>
    <row r="2" spans="1:7">
      <c r="A2" t="s">
        <v>626</v>
      </c>
      <c r="B2">
        <v>1</v>
      </c>
      <c r="C2">
        <v>1409</v>
      </c>
      <c r="D2">
        <v>85</v>
      </c>
      <c r="F2">
        <v>0</v>
      </c>
      <c r="G2">
        <v>16</v>
      </c>
    </row>
    <row r="3" spans="1:7">
      <c r="A3" t="s">
        <v>626</v>
      </c>
      <c r="B3">
        <v>7</v>
      </c>
      <c r="C3">
        <v>5385</v>
      </c>
      <c r="D3">
        <v>133</v>
      </c>
      <c r="F3">
        <v>1</v>
      </c>
      <c r="G3">
        <v>21</v>
      </c>
    </row>
    <row r="4" spans="1:7">
      <c r="A4" t="s">
        <v>626</v>
      </c>
      <c r="B4">
        <v>30</v>
      </c>
      <c r="C4">
        <v>29844</v>
      </c>
      <c r="D4">
        <v>460</v>
      </c>
      <c r="F4">
        <v>2</v>
      </c>
      <c r="G4">
        <v>27</v>
      </c>
    </row>
    <row r="5" spans="1:7">
      <c r="A5" t="s">
        <v>626</v>
      </c>
      <c r="B5">
        <v>90</v>
      </c>
      <c r="C5">
        <v>91244</v>
      </c>
      <c r="D5">
        <v>1041</v>
      </c>
      <c r="F5">
        <v>4</v>
      </c>
      <c r="G5">
        <v>44</v>
      </c>
    </row>
    <row r="6" spans="1:7">
      <c r="A6" t="s">
        <v>626</v>
      </c>
      <c r="B6">
        <v>180</v>
      </c>
      <c r="C6">
        <v>189724</v>
      </c>
      <c r="D6">
        <v>1864</v>
      </c>
      <c r="F6">
        <v>5</v>
      </c>
      <c r="G6">
        <v>50</v>
      </c>
    </row>
    <row r="7" spans="1:7">
      <c r="A7" t="s">
        <v>626</v>
      </c>
      <c r="B7">
        <v>365</v>
      </c>
      <c r="C7">
        <v>344565</v>
      </c>
      <c r="D7">
        <v>3234</v>
      </c>
      <c r="E7">
        <v>627</v>
      </c>
      <c r="F7">
        <v>5</v>
      </c>
      <c r="G7">
        <v>50</v>
      </c>
    </row>
    <row r="8" spans="1:7">
      <c r="A8" t="s">
        <v>627</v>
      </c>
      <c r="B8">
        <v>1</v>
      </c>
      <c r="C8">
        <v>1540</v>
      </c>
      <c r="D8">
        <v>82</v>
      </c>
      <c r="F8">
        <v>0</v>
      </c>
      <c r="G8">
        <v>18</v>
      </c>
    </row>
    <row r="9" spans="1:7">
      <c r="A9" t="s">
        <v>627</v>
      </c>
      <c r="B9">
        <v>7</v>
      </c>
      <c r="C9">
        <v>16421</v>
      </c>
      <c r="D9">
        <v>270</v>
      </c>
      <c r="F9">
        <v>2</v>
      </c>
      <c r="G9">
        <v>26</v>
      </c>
    </row>
    <row r="10" spans="1:7">
      <c r="A10" t="s">
        <v>627</v>
      </c>
      <c r="B10">
        <v>30</v>
      </c>
      <c r="C10">
        <v>68837</v>
      </c>
      <c r="D10">
        <v>720</v>
      </c>
      <c r="F10">
        <v>3</v>
      </c>
      <c r="G10">
        <v>40</v>
      </c>
    </row>
    <row r="11" spans="1:7">
      <c r="A11" t="s">
        <v>627</v>
      </c>
      <c r="B11">
        <v>90</v>
      </c>
      <c r="C11">
        <v>215526</v>
      </c>
      <c r="D11">
        <v>1677</v>
      </c>
      <c r="F11">
        <v>5</v>
      </c>
      <c r="G11">
        <v>50</v>
      </c>
    </row>
    <row r="12" spans="1:7">
      <c r="A12" t="s">
        <v>627</v>
      </c>
      <c r="B12">
        <v>180</v>
      </c>
      <c r="C12">
        <v>364230</v>
      </c>
      <c r="D12">
        <v>2723</v>
      </c>
      <c r="F12">
        <v>5</v>
      </c>
      <c r="G12">
        <v>50</v>
      </c>
    </row>
    <row r="13" spans="1:7">
      <c r="A13" t="s">
        <v>627</v>
      </c>
      <c r="B13">
        <v>365</v>
      </c>
      <c r="C13">
        <v>662282</v>
      </c>
      <c r="D13">
        <v>4804</v>
      </c>
      <c r="E13">
        <v>0</v>
      </c>
      <c r="F13">
        <v>5</v>
      </c>
      <c r="G13">
        <v>50</v>
      </c>
    </row>
    <row r="14" spans="1:7">
      <c r="A14" t="s">
        <v>628</v>
      </c>
      <c r="B14">
        <v>1</v>
      </c>
      <c r="C14">
        <v>3995</v>
      </c>
      <c r="D14">
        <v>104</v>
      </c>
      <c r="F14">
        <v>0</v>
      </c>
      <c r="G14">
        <v>16</v>
      </c>
    </row>
    <row r="15" spans="1:7">
      <c r="A15" t="s">
        <v>628</v>
      </c>
      <c r="B15">
        <v>7</v>
      </c>
      <c r="C15">
        <v>34026</v>
      </c>
      <c r="D15">
        <v>455</v>
      </c>
      <c r="F15">
        <v>2</v>
      </c>
      <c r="G15">
        <v>22</v>
      </c>
    </row>
    <row r="16" spans="1:7">
      <c r="A16" t="s">
        <v>628</v>
      </c>
      <c r="B16">
        <v>30</v>
      </c>
      <c r="C16">
        <v>154532</v>
      </c>
      <c r="D16">
        <v>1179</v>
      </c>
      <c r="F16">
        <v>5</v>
      </c>
      <c r="G16">
        <v>50</v>
      </c>
    </row>
    <row r="17" spans="1:7">
      <c r="A17" t="s">
        <v>628</v>
      </c>
      <c r="B17">
        <v>90</v>
      </c>
      <c r="C17">
        <v>392011</v>
      </c>
      <c r="D17">
        <v>2365</v>
      </c>
      <c r="F17">
        <v>5</v>
      </c>
      <c r="G17">
        <v>50</v>
      </c>
    </row>
    <row r="18" spans="1:7">
      <c r="A18" t="s">
        <v>628</v>
      </c>
      <c r="B18">
        <v>180</v>
      </c>
      <c r="C18">
        <v>713126</v>
      </c>
      <c r="D18">
        <v>4057</v>
      </c>
      <c r="F18">
        <v>5</v>
      </c>
      <c r="G18">
        <v>50</v>
      </c>
    </row>
    <row r="19" spans="1:7">
      <c r="A19" t="s">
        <v>628</v>
      </c>
      <c r="B19">
        <v>365</v>
      </c>
      <c r="C19">
        <v>1371282</v>
      </c>
      <c r="D19">
        <v>7494</v>
      </c>
      <c r="E19">
        <v>2190</v>
      </c>
      <c r="F19">
        <v>5</v>
      </c>
      <c r="G19">
        <v>50</v>
      </c>
    </row>
    <row r="22" spans="1:7">
      <c r="A22" s="4" t="s">
        <v>19</v>
      </c>
      <c r="B22" s="4" t="s">
        <v>60</v>
      </c>
      <c r="C22" s="4" t="s">
        <v>34</v>
      </c>
      <c r="D22" s="4" t="s">
        <v>61</v>
      </c>
      <c r="E22" s="4" t="s">
        <v>643</v>
      </c>
      <c r="F22" s="4" t="s">
        <v>644</v>
      </c>
    </row>
    <row r="23" spans="1:7">
      <c r="A23" t="s">
        <v>626</v>
      </c>
      <c r="B23" t="s">
        <v>645</v>
      </c>
      <c r="C23" t="s">
        <v>75</v>
      </c>
      <c r="D23" s="10">
        <v>200</v>
      </c>
      <c r="E23">
        <v>12</v>
      </c>
      <c r="F23">
        <v>14</v>
      </c>
    </row>
    <row r="24" spans="1:7">
      <c r="A24" t="s">
        <v>626</v>
      </c>
      <c r="B24" t="s">
        <v>646</v>
      </c>
      <c r="C24" t="s">
        <v>75</v>
      </c>
      <c r="D24" s="10">
        <v>600</v>
      </c>
      <c r="E24">
        <v>42</v>
      </c>
      <c r="F24">
        <v>61</v>
      </c>
    </row>
    <row r="25" spans="1:7">
      <c r="A25" t="s">
        <v>626</v>
      </c>
      <c r="B25" t="s">
        <v>647</v>
      </c>
      <c r="C25" t="s">
        <v>75</v>
      </c>
      <c r="D25" s="10">
        <v>700</v>
      </c>
      <c r="E25">
        <v>49</v>
      </c>
      <c r="F25">
        <v>73</v>
      </c>
    </row>
    <row r="26" spans="1:7">
      <c r="A26" t="s">
        <v>626</v>
      </c>
      <c r="B26" t="s">
        <v>648</v>
      </c>
      <c r="C26" t="s">
        <v>75</v>
      </c>
      <c r="D26" s="10">
        <v>1700</v>
      </c>
      <c r="E26">
        <v>162</v>
      </c>
      <c r="F26">
        <v>224</v>
      </c>
    </row>
    <row r="27" spans="1:7">
      <c r="A27" t="s">
        <v>626</v>
      </c>
      <c r="B27" t="s">
        <v>649</v>
      </c>
      <c r="C27" t="s">
        <v>75</v>
      </c>
      <c r="D27" s="10">
        <v>2300</v>
      </c>
      <c r="E27">
        <v>231</v>
      </c>
      <c r="F27">
        <v>336</v>
      </c>
    </row>
    <row r="28" spans="1:7">
      <c r="A28" t="s">
        <v>626</v>
      </c>
      <c r="B28" t="s">
        <v>69</v>
      </c>
      <c r="C28" t="s">
        <v>70</v>
      </c>
      <c r="D28" s="10">
        <v>800</v>
      </c>
      <c r="E28">
        <v>1</v>
      </c>
      <c r="F28">
        <v>1</v>
      </c>
    </row>
    <row r="29" spans="1:7">
      <c r="A29" t="s">
        <v>626</v>
      </c>
      <c r="B29" t="s">
        <v>650</v>
      </c>
      <c r="C29" t="s">
        <v>70</v>
      </c>
      <c r="D29" s="10">
        <v>1200</v>
      </c>
      <c r="E29">
        <v>1</v>
      </c>
      <c r="F29">
        <v>3</v>
      </c>
    </row>
    <row r="30" spans="1:7">
      <c r="A30" t="s">
        <v>626</v>
      </c>
      <c r="B30" t="s">
        <v>651</v>
      </c>
      <c r="C30" t="s">
        <v>70</v>
      </c>
      <c r="D30" s="10">
        <v>7500</v>
      </c>
      <c r="E30">
        <v>10</v>
      </c>
      <c r="F30">
        <v>19</v>
      </c>
    </row>
    <row r="31" spans="1:7">
      <c r="A31" t="s">
        <v>626</v>
      </c>
      <c r="B31" t="s">
        <v>652</v>
      </c>
      <c r="C31" t="s">
        <v>70</v>
      </c>
      <c r="D31" s="10">
        <v>35600</v>
      </c>
      <c r="E31">
        <v>35</v>
      </c>
      <c r="F31">
        <v>89</v>
      </c>
    </row>
    <row r="32" spans="1:7">
      <c r="A32" t="s">
        <v>627</v>
      </c>
      <c r="B32" t="s">
        <v>645</v>
      </c>
      <c r="C32" t="s">
        <v>75</v>
      </c>
      <c r="D32" s="10">
        <v>200</v>
      </c>
      <c r="E32">
        <v>5</v>
      </c>
      <c r="F32">
        <v>7</v>
      </c>
    </row>
    <row r="33" spans="1:6">
      <c r="A33" t="s">
        <v>627</v>
      </c>
      <c r="B33" t="s">
        <v>646</v>
      </c>
      <c r="C33" t="s">
        <v>75</v>
      </c>
      <c r="D33" s="10">
        <v>600</v>
      </c>
      <c r="E33">
        <v>22</v>
      </c>
      <c r="F33">
        <v>32</v>
      </c>
    </row>
    <row r="34" spans="1:6">
      <c r="A34" t="s">
        <v>627</v>
      </c>
      <c r="B34" t="s">
        <v>647</v>
      </c>
      <c r="C34" t="s">
        <v>75</v>
      </c>
      <c r="D34" s="10">
        <v>700</v>
      </c>
      <c r="E34">
        <v>28</v>
      </c>
      <c r="F34">
        <v>40</v>
      </c>
    </row>
    <row r="35" spans="1:6">
      <c r="A35" t="s">
        <v>627</v>
      </c>
      <c r="B35" t="s">
        <v>648</v>
      </c>
      <c r="C35" t="s">
        <v>75</v>
      </c>
      <c r="D35" s="10">
        <v>1700</v>
      </c>
      <c r="E35">
        <v>91</v>
      </c>
      <c r="F35">
        <v>138</v>
      </c>
    </row>
    <row r="36" spans="1:6">
      <c r="A36" t="s">
        <v>627</v>
      </c>
      <c r="B36" t="s">
        <v>649</v>
      </c>
      <c r="C36" t="s">
        <v>75</v>
      </c>
      <c r="D36" s="10">
        <v>2300</v>
      </c>
      <c r="E36">
        <v>143</v>
      </c>
      <c r="F36">
        <v>210</v>
      </c>
    </row>
    <row r="37" spans="1:6">
      <c r="A37" t="s">
        <v>627</v>
      </c>
      <c r="B37" t="s">
        <v>69</v>
      </c>
      <c r="C37" t="s">
        <v>70</v>
      </c>
      <c r="D37" s="10">
        <v>800</v>
      </c>
      <c r="E37">
        <v>1</v>
      </c>
      <c r="F37">
        <v>1</v>
      </c>
    </row>
    <row r="38" spans="1:6">
      <c r="A38" t="s">
        <v>627</v>
      </c>
      <c r="B38" t="s">
        <v>650</v>
      </c>
      <c r="C38" t="s">
        <v>70</v>
      </c>
      <c r="D38" s="10">
        <v>1200</v>
      </c>
      <c r="E38">
        <v>1</v>
      </c>
      <c r="F38">
        <v>2</v>
      </c>
    </row>
    <row r="39" spans="1:6">
      <c r="A39" t="s">
        <v>627</v>
      </c>
      <c r="B39" t="s">
        <v>651</v>
      </c>
      <c r="C39" t="s">
        <v>70</v>
      </c>
      <c r="D39" s="10">
        <v>7500</v>
      </c>
      <c r="E39">
        <v>4</v>
      </c>
      <c r="F39">
        <v>8</v>
      </c>
    </row>
    <row r="40" spans="1:6">
      <c r="A40" t="s">
        <v>627</v>
      </c>
      <c r="B40" t="s">
        <v>652</v>
      </c>
      <c r="C40" t="s">
        <v>70</v>
      </c>
      <c r="D40" s="10">
        <v>35600</v>
      </c>
      <c r="E40">
        <v>15</v>
      </c>
      <c r="F40">
        <v>38</v>
      </c>
    </row>
    <row r="41" spans="1:6">
      <c r="A41" t="s">
        <v>628</v>
      </c>
      <c r="B41" t="s">
        <v>645</v>
      </c>
      <c r="C41" t="s">
        <v>75</v>
      </c>
      <c r="D41" s="10">
        <v>200</v>
      </c>
      <c r="E41">
        <v>3</v>
      </c>
      <c r="F41">
        <v>4</v>
      </c>
    </row>
    <row r="42" spans="1:6">
      <c r="A42" t="s">
        <v>628</v>
      </c>
      <c r="B42" t="s">
        <v>646</v>
      </c>
      <c r="C42" t="s">
        <v>75</v>
      </c>
      <c r="D42" s="10">
        <v>600</v>
      </c>
      <c r="E42">
        <v>12</v>
      </c>
      <c r="F42">
        <v>17</v>
      </c>
    </row>
    <row r="43" spans="1:6">
      <c r="A43" t="s">
        <v>628</v>
      </c>
      <c r="B43" t="s">
        <v>647</v>
      </c>
      <c r="C43" t="s">
        <v>75</v>
      </c>
      <c r="D43" s="10">
        <v>700</v>
      </c>
      <c r="E43">
        <v>15</v>
      </c>
      <c r="F43">
        <v>22</v>
      </c>
    </row>
    <row r="44" spans="1:6">
      <c r="A44" t="s">
        <v>628</v>
      </c>
      <c r="B44" t="s">
        <v>648</v>
      </c>
      <c r="C44" t="s">
        <v>75</v>
      </c>
      <c r="D44" s="10">
        <v>1700</v>
      </c>
      <c r="E44">
        <v>55</v>
      </c>
      <c r="F44">
        <v>84</v>
      </c>
    </row>
    <row r="45" spans="1:6">
      <c r="A45" t="s">
        <v>628</v>
      </c>
      <c r="B45" t="s">
        <v>649</v>
      </c>
      <c r="C45" t="s">
        <v>75</v>
      </c>
      <c r="D45" s="10">
        <v>2300</v>
      </c>
      <c r="E45">
        <v>86</v>
      </c>
      <c r="F45">
        <v>126</v>
      </c>
    </row>
    <row r="46" spans="1:6">
      <c r="A46" t="s">
        <v>628</v>
      </c>
      <c r="B46" t="s">
        <v>69</v>
      </c>
      <c r="C46" t="s">
        <v>70</v>
      </c>
      <c r="D46" s="10">
        <v>800</v>
      </c>
      <c r="E46">
        <v>1</v>
      </c>
      <c r="F46">
        <v>1</v>
      </c>
    </row>
    <row r="47" spans="1:6">
      <c r="A47" t="s">
        <v>628</v>
      </c>
      <c r="B47" t="s">
        <v>650</v>
      </c>
      <c r="C47" t="s">
        <v>70</v>
      </c>
      <c r="D47" s="10">
        <v>1200</v>
      </c>
      <c r="E47">
        <v>1</v>
      </c>
      <c r="F47">
        <v>1</v>
      </c>
    </row>
    <row r="48" spans="1:6">
      <c r="A48" t="s">
        <v>628</v>
      </c>
      <c r="B48" t="s">
        <v>651</v>
      </c>
      <c r="C48" t="s">
        <v>70</v>
      </c>
      <c r="D48" s="10">
        <v>7500</v>
      </c>
      <c r="E48">
        <v>2</v>
      </c>
      <c r="F48">
        <v>4</v>
      </c>
    </row>
    <row r="49" spans="1:10">
      <c r="A49" t="s">
        <v>628</v>
      </c>
      <c r="B49" t="s">
        <v>652</v>
      </c>
      <c r="C49" t="s">
        <v>70</v>
      </c>
      <c r="D49" s="10">
        <v>35600</v>
      </c>
      <c r="E49">
        <v>8</v>
      </c>
      <c r="F49">
        <v>18</v>
      </c>
    </row>
    <row r="50" spans="1:10">
      <c r="A50" s="3" t="s">
        <v>653</v>
      </c>
    </row>
    <row r="53" spans="1:10">
      <c r="A53" s="4" t="s">
        <v>654</v>
      </c>
      <c r="B53" s="4" t="s">
        <v>19</v>
      </c>
      <c r="C53" s="4" t="s">
        <v>655</v>
      </c>
      <c r="D53" s="4" t="s">
        <v>656</v>
      </c>
      <c r="E53" s="4" t="s">
        <v>657</v>
      </c>
      <c r="F53" s="4" t="s">
        <v>658</v>
      </c>
      <c r="G53" s="4" t="s">
        <v>659</v>
      </c>
      <c r="H53" s="4" t="s">
        <v>660</v>
      </c>
      <c r="I53" s="4" t="s">
        <v>661</v>
      </c>
      <c r="J53" s="4" t="s">
        <v>662</v>
      </c>
    </row>
    <row r="54" spans="1:10">
      <c r="A54">
        <v>1</v>
      </c>
      <c r="B54" t="s">
        <v>626</v>
      </c>
      <c r="C54">
        <v>1</v>
      </c>
      <c r="D54">
        <v>123</v>
      </c>
      <c r="E54">
        <v>460</v>
      </c>
      <c r="F54">
        <v>1041</v>
      </c>
      <c r="G54">
        <v>153</v>
      </c>
      <c r="H54">
        <v>42</v>
      </c>
      <c r="I54">
        <v>12</v>
      </c>
      <c r="J54">
        <v>162</v>
      </c>
    </row>
    <row r="55" spans="1:10">
      <c r="A55">
        <v>1</v>
      </c>
      <c r="B55" t="s">
        <v>628</v>
      </c>
      <c r="C55">
        <v>1</v>
      </c>
      <c r="D55">
        <v>123</v>
      </c>
      <c r="E55">
        <v>1089</v>
      </c>
      <c r="F55">
        <v>2095</v>
      </c>
      <c r="G55">
        <v>270</v>
      </c>
      <c r="H55">
        <v>14</v>
      </c>
      <c r="I55">
        <v>3</v>
      </c>
      <c r="J55">
        <v>64</v>
      </c>
    </row>
    <row r="56" spans="1:10">
      <c r="A56">
        <v>2</v>
      </c>
      <c r="B56" t="s">
        <v>626</v>
      </c>
      <c r="C56">
        <v>1</v>
      </c>
      <c r="D56">
        <v>144</v>
      </c>
      <c r="E56">
        <v>460</v>
      </c>
      <c r="F56">
        <v>1041</v>
      </c>
      <c r="G56">
        <v>153</v>
      </c>
      <c r="H56">
        <v>42</v>
      </c>
      <c r="I56">
        <v>12</v>
      </c>
      <c r="J56">
        <v>162</v>
      </c>
    </row>
    <row r="57" spans="1:10">
      <c r="A57">
        <v>2</v>
      </c>
      <c r="B57" t="s">
        <v>628</v>
      </c>
      <c r="C57">
        <v>2</v>
      </c>
      <c r="D57">
        <v>144</v>
      </c>
      <c r="E57">
        <v>1179</v>
      </c>
      <c r="F57">
        <v>2365</v>
      </c>
      <c r="G57">
        <v>540</v>
      </c>
      <c r="H57">
        <v>12</v>
      </c>
      <c r="I57">
        <v>3</v>
      </c>
      <c r="J57">
        <v>55</v>
      </c>
    </row>
    <row r="58" spans="1:10">
      <c r="A58">
        <v>3</v>
      </c>
      <c r="B58" t="s">
        <v>626</v>
      </c>
      <c r="C58">
        <v>1</v>
      </c>
      <c r="D58">
        <v>165</v>
      </c>
      <c r="E58">
        <v>460</v>
      </c>
      <c r="F58">
        <v>1041</v>
      </c>
      <c r="G58">
        <v>153</v>
      </c>
      <c r="H58">
        <v>42</v>
      </c>
      <c r="I58">
        <v>12</v>
      </c>
      <c r="J58">
        <v>162</v>
      </c>
    </row>
    <row r="59" spans="1:10">
      <c r="A59">
        <v>3</v>
      </c>
      <c r="B59" t="s">
        <v>628</v>
      </c>
      <c r="C59">
        <v>3</v>
      </c>
      <c r="D59">
        <v>165</v>
      </c>
      <c r="E59">
        <v>1269</v>
      </c>
      <c r="F59">
        <v>2635</v>
      </c>
      <c r="G59">
        <v>810</v>
      </c>
      <c r="H59">
        <v>10</v>
      </c>
      <c r="I59">
        <v>3</v>
      </c>
      <c r="J59">
        <v>47</v>
      </c>
    </row>
    <row r="61" spans="1:10">
      <c r="A61" s="2" t="s">
        <v>663</v>
      </c>
      <c r="B61" s="2"/>
      <c r="C61" s="2"/>
      <c r="D61" s="2"/>
      <c r="E61" s="2"/>
      <c r="F61" s="2"/>
      <c r="G61" s="2"/>
      <c r="H61" s="2"/>
      <c r="I61" s="2"/>
      <c r="J61" s="2"/>
    </row>
    <row r="62" spans="1:10">
      <c r="A62" s="2"/>
      <c r="B62" s="2"/>
      <c r="C62" s="2"/>
      <c r="D62" s="2"/>
      <c r="E62" s="2"/>
      <c r="F62" s="2"/>
      <c r="G62" s="2"/>
      <c r="H62" s="2"/>
      <c r="I62" s="2"/>
      <c r="J62" s="2"/>
    </row>
    <row r="63" spans="1:10">
      <c r="A63" s="2"/>
      <c r="B63" s="2"/>
      <c r="C63" s="2"/>
      <c r="D63" s="2"/>
      <c r="E63" s="2"/>
      <c r="F63" s="2"/>
      <c r="G63" s="2"/>
      <c r="H63" s="2"/>
      <c r="I63" s="2"/>
      <c r="J63" s="2"/>
    </row>
    <row r="64" spans="1:10">
      <c r="A64" s="2"/>
      <c r="B64" s="2"/>
      <c r="C64" s="2"/>
      <c r="D64" s="2"/>
      <c r="E64" s="2"/>
      <c r="F64" s="2"/>
      <c r="G64" s="2"/>
      <c r="H64" s="2"/>
      <c r="I64" s="2"/>
      <c r="J64" s="2"/>
    </row>
  </sheetData>
  <mergeCells count="1">
    <mergeCell ref="A61:J6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Source Outputs</vt:lpstr>
      <vt:lpstr>Sources</vt:lpstr>
      <vt:lpstr>Goals</vt:lpstr>
      <vt:lpstr>Sinks</vt:lpstr>
      <vt:lpstr>Store Value</vt:lpstr>
      <vt:lpstr>Career and Cards</vt:lpstr>
      <vt:lpstr>90 Day Ledger</vt:lpstr>
      <vt:lpstr>Checks and Limits</vt:lpstr>
      <vt:lpstr>Coming Back</vt:lpstr>
      <vt:lpstr>Come Back Sources</vt:lpstr>
      <vt:lpstr>Club Income</vt:lpstr>
      <vt:lpstr>Portal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Blocky League economy review</dc:title>
  <dc:subject>Time, coins, gems and transparent store value</dc:subject>
  <dc:creator>Blocky League</dc:creator>
  <dc:description>Planning scenarios based on source rules. Not player telemetry.</dc:description>
  <cp:lastModifiedBy>Blocky League</cp:lastModifiedBy>
  <dcterms:created xsi:type="dcterms:W3CDTF">2026-10-13T14:12:36Z</dcterms:created>
  <dcterms:modified xsi:type="dcterms:W3CDTF">2026-10-13T14:12:36Z</dcterms:modified>
</cp:coreProperties>
</file>